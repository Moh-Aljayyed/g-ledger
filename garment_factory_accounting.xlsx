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شجرة الحسابات" sheetId="1" state="visible" r:id="rId3"/>
    <sheet name="القيود المحاسبية" sheetId="2" state="visible" r:id="rId4"/>
    <sheet name="بطاقة تكلفة المنتج" sheetId="3" state="visible" r:id="rId5"/>
    <sheet name="حركة المخزون" sheetId="4" state="visible" r:id="rId6"/>
    <sheet name="المستندات والدورة المستندي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<sst xmlns="http://schemas.openxmlformats.org/spreadsheetml/2006/main" count="978" uniqueCount="646">
  <si>
    <t xml:space="preserve">كود الحساب</t>
  </si>
  <si>
    <t xml:space="preserve">اسم الحساب (عربي)</t>
  </si>
  <si>
    <t xml:space="preserve">Account Name (EN)</t>
  </si>
  <si>
    <t xml:space="preserve">النوع</t>
  </si>
  <si>
    <t xml:space="preserve">المستوى</t>
  </si>
  <si>
    <t xml:space="preserve">ملاحظات</t>
  </si>
  <si>
    <t xml:space="preserve">═══ الأصول ═══</t>
  </si>
  <si>
    <t xml:space="preserve">═══ ASSETS ═══</t>
  </si>
  <si>
    <t xml:space="preserve">1000</t>
  </si>
  <si>
    <t xml:space="preserve">الأصول</t>
  </si>
  <si>
    <t xml:space="preserve">Assets</t>
  </si>
  <si>
    <t xml:space="preserve">رئيسي</t>
  </si>
  <si>
    <t xml:space="preserve">1</t>
  </si>
  <si>
    <t xml:space="preserve">1100</t>
  </si>
  <si>
    <t xml:space="preserve">الأصول المتداولة</t>
  </si>
  <si>
    <t xml:space="preserve">Current Assets</t>
  </si>
  <si>
    <t xml:space="preserve">فرعي</t>
  </si>
  <si>
    <t xml:space="preserve">2</t>
  </si>
  <si>
    <t xml:space="preserve">1110</t>
  </si>
  <si>
    <t xml:space="preserve">النقدية والبنوك</t>
  </si>
  <si>
    <t xml:space="preserve">Cash &amp; Banks</t>
  </si>
  <si>
    <t xml:space="preserve">3</t>
  </si>
  <si>
    <t xml:space="preserve">1111</t>
  </si>
  <si>
    <t xml:space="preserve">الصندوق</t>
  </si>
  <si>
    <t xml:space="preserve">Cash on Hand</t>
  </si>
  <si>
    <t xml:space="preserve">تفصيلي</t>
  </si>
  <si>
    <t xml:space="preserve">4</t>
  </si>
  <si>
    <t xml:space="preserve">1112</t>
  </si>
  <si>
    <t xml:space="preserve">البنك - حساب جاري</t>
  </si>
  <si>
    <t xml:space="preserve">Bank - Current Account</t>
  </si>
  <si>
    <t xml:space="preserve">1113</t>
  </si>
  <si>
    <t xml:space="preserve">البنك - حساب توفير</t>
  </si>
  <si>
    <t xml:space="preserve">Bank - Savings Account</t>
  </si>
  <si>
    <t xml:space="preserve">1120</t>
  </si>
  <si>
    <t xml:space="preserve">العملاء والمدينون</t>
  </si>
  <si>
    <t xml:space="preserve">Accounts Receivable</t>
  </si>
  <si>
    <t xml:space="preserve">1121</t>
  </si>
  <si>
    <t xml:space="preserve">العملاء - جملة</t>
  </si>
  <si>
    <t xml:space="preserve">Customers - Wholesale</t>
  </si>
  <si>
    <t xml:space="preserve">1122</t>
  </si>
  <si>
    <t xml:space="preserve">العملاء - تجزئة</t>
  </si>
  <si>
    <t xml:space="preserve">Customers - Retail</t>
  </si>
  <si>
    <t xml:space="preserve">1123</t>
  </si>
  <si>
    <t xml:space="preserve">العملاء - تصدير</t>
  </si>
  <si>
    <t xml:space="preserve">Customers - Export</t>
  </si>
  <si>
    <t xml:space="preserve">1124</t>
  </si>
  <si>
    <t xml:space="preserve">أوراق قبض</t>
  </si>
  <si>
    <t xml:space="preserve">Notes Receivable</t>
  </si>
  <si>
    <t xml:space="preserve">1125</t>
  </si>
  <si>
    <t xml:space="preserve">شيكات تحت التحصيل</t>
  </si>
  <si>
    <t xml:space="preserve">Cheques Under Collection</t>
  </si>
  <si>
    <t xml:space="preserve">─── المخزون (الأهم) ───</t>
  </si>
  <si>
    <t xml:space="preserve">─── INVENTORY (Key) ───</t>
  </si>
  <si>
    <t xml:space="preserve">1130</t>
  </si>
  <si>
    <t xml:space="preserve">المخزون</t>
  </si>
  <si>
    <t xml:space="preserve">Inventory</t>
  </si>
  <si>
    <t xml:space="preserve">1131</t>
  </si>
  <si>
    <t xml:space="preserve">مخزون غزل (خامات أولية)</t>
  </si>
  <si>
    <t xml:space="preserve">Raw Yarn Inventory</t>
  </si>
  <si>
    <t xml:space="preserve">المرحلة 1: الشراء</t>
  </si>
  <si>
    <t xml:space="preserve">1132</t>
  </si>
  <si>
    <t xml:space="preserve">مخزون لوازم (أزرار، سحابات، خيوط)</t>
  </si>
  <si>
    <t xml:space="preserve">Accessories Inventory</t>
  </si>
  <si>
    <t xml:space="preserve">مواد مساعدة</t>
  </si>
  <si>
    <t xml:space="preserve">1133</t>
  </si>
  <si>
    <t xml:space="preserve">مخزون لدى مقاول النسيج</t>
  </si>
  <si>
    <t xml:space="preserve">Inventory at Weaver</t>
  </si>
  <si>
    <t xml:space="preserve">المرحلة 2: غزل مرسل للنسّاج</t>
  </si>
  <si>
    <t xml:space="preserve">1134</t>
  </si>
  <si>
    <t xml:space="preserve">مخزون قماش خام (بعد النسيج)</t>
  </si>
  <si>
    <t xml:space="preserve">Raw Fabric Inventory</t>
  </si>
  <si>
    <t xml:space="preserve">المرحلة 2: مستلم من النسّاج</t>
  </si>
  <si>
    <t xml:space="preserve">1135</t>
  </si>
  <si>
    <t xml:space="preserve">مخزون لدى مقاول الصباغة</t>
  </si>
  <si>
    <t xml:space="preserve">Inventory at Dyer</t>
  </si>
  <si>
    <t xml:space="preserve">المرحلة 3: قماش مرسل للصبّاغ</t>
  </si>
  <si>
    <t xml:space="preserve">1136</t>
  </si>
  <si>
    <t xml:space="preserve">مخزون قماش مصبوغ</t>
  </si>
  <si>
    <t xml:space="preserve">Dyed Fabric Inventory</t>
  </si>
  <si>
    <t xml:space="preserve">المرحلة 3: مستلم من الصبّاغ</t>
  </si>
  <si>
    <t xml:space="preserve">1137</t>
  </si>
  <si>
    <t xml:space="preserve">مخزون تحت التشغيل (إنتاج)</t>
  </si>
  <si>
    <t xml:space="preserve">Work in Process (WIP)</t>
  </si>
  <si>
    <t xml:space="preserve">المرحلة 4: في خط الإنتاج</t>
  </si>
  <si>
    <t xml:space="preserve">1138</t>
  </si>
  <si>
    <t xml:space="preserve">مخزون منتجات تامة الصنع</t>
  </si>
  <si>
    <t xml:space="preserve">Finished Goods Inventory</t>
  </si>
  <si>
    <t xml:space="preserve">المرحلة 5: جاهز للبيع</t>
  </si>
  <si>
    <t xml:space="preserve">1139</t>
  </si>
  <si>
    <t xml:space="preserve">مخزون هالك ومعيب</t>
  </si>
  <si>
    <t xml:space="preserve">Scrap &amp; Defective Inventory</t>
  </si>
  <si>
    <t xml:space="preserve">قص فاقد + إنتاج معيب</t>
  </si>
  <si>
    <t xml:space="preserve">1140</t>
  </si>
  <si>
    <t xml:space="preserve">سلف ومقدمات</t>
  </si>
  <si>
    <t xml:space="preserve">Advances &amp; Prepaid</t>
  </si>
  <si>
    <t xml:space="preserve">1141</t>
  </si>
  <si>
    <t xml:space="preserve">سلف مقاولين (نسيج)</t>
  </si>
  <si>
    <t xml:space="preserve">Advances to Weaver</t>
  </si>
  <si>
    <t xml:space="preserve">دفعات مقدمة للنسّاج</t>
  </si>
  <si>
    <t xml:space="preserve">1142</t>
  </si>
  <si>
    <t xml:space="preserve">سلف مقاولين (صباغة)</t>
  </si>
  <si>
    <t xml:space="preserve">Advances to Dyer</t>
  </si>
  <si>
    <t xml:space="preserve">دفعات مقدمة للصبّاغ</t>
  </si>
  <si>
    <t xml:space="preserve">1143</t>
  </si>
  <si>
    <t xml:space="preserve">سلف موردين غزل</t>
  </si>
  <si>
    <t xml:space="preserve">Advances to Yarn Suppliers</t>
  </si>
  <si>
    <t xml:space="preserve">1144</t>
  </si>
  <si>
    <t xml:space="preserve">مصروفات مقدمة</t>
  </si>
  <si>
    <t xml:space="preserve">Prepaid Expenses</t>
  </si>
  <si>
    <t xml:space="preserve">─── الأصول الثابتة ───</t>
  </si>
  <si>
    <t xml:space="preserve">─── FIXED ASSETS ───</t>
  </si>
  <si>
    <t xml:space="preserve">1200</t>
  </si>
  <si>
    <t xml:space="preserve">الأصول الثابتة</t>
  </si>
  <si>
    <t xml:space="preserve">Fixed Assets</t>
  </si>
  <si>
    <t xml:space="preserve">1210</t>
  </si>
  <si>
    <t xml:space="preserve">ماكينات خياطة</t>
  </si>
  <si>
    <t xml:space="preserve">Sewing Machines</t>
  </si>
  <si>
    <t xml:space="preserve">1211</t>
  </si>
  <si>
    <t xml:space="preserve">ماكينات قص</t>
  </si>
  <si>
    <t xml:space="preserve">Cutting Machines</t>
  </si>
  <si>
    <t xml:space="preserve">1212</t>
  </si>
  <si>
    <t xml:space="preserve">ماكينات كي وتشطيب</t>
  </si>
  <si>
    <t xml:space="preserve">Pressing &amp; Finishing Machines</t>
  </si>
  <si>
    <t xml:space="preserve">1213</t>
  </si>
  <si>
    <t xml:space="preserve">ماكينات تغليف</t>
  </si>
  <si>
    <t xml:space="preserve">Packing Machines</t>
  </si>
  <si>
    <t xml:space="preserve">1220</t>
  </si>
  <si>
    <t xml:space="preserve">أثاث ومعدات مكتبية</t>
  </si>
  <si>
    <t xml:space="preserve">Furniture &amp; Office Equipment</t>
  </si>
  <si>
    <t xml:space="preserve">1230</t>
  </si>
  <si>
    <t xml:space="preserve">سيارات ووسائل نقل</t>
  </si>
  <si>
    <t xml:space="preserve">Vehicles</t>
  </si>
  <si>
    <t xml:space="preserve">1240</t>
  </si>
  <si>
    <t xml:space="preserve">مباني ومنشآت</t>
  </si>
  <si>
    <t xml:space="preserve">Buildings</t>
  </si>
  <si>
    <t xml:space="preserve">1250</t>
  </si>
  <si>
    <t xml:space="preserve">مجمع الإهلاك</t>
  </si>
  <si>
    <t xml:space="preserve">Accumulated Depreciation</t>
  </si>
  <si>
    <t xml:space="preserve">حساب عكسي</t>
  </si>
  <si>
    <t xml:space="preserve">═══ الخصوم ═══</t>
  </si>
  <si>
    <t xml:space="preserve">═══ LIABILITIES ═══</t>
  </si>
  <si>
    <t xml:space="preserve">2000</t>
  </si>
  <si>
    <t xml:space="preserve">الخصوم</t>
  </si>
  <si>
    <t xml:space="preserve">Liabilities</t>
  </si>
  <si>
    <t xml:space="preserve">2100</t>
  </si>
  <si>
    <t xml:space="preserve">الخصوم المتداولة</t>
  </si>
  <si>
    <t xml:space="preserve">Current Liabilities</t>
  </si>
  <si>
    <t xml:space="preserve">2110</t>
  </si>
  <si>
    <t xml:space="preserve">الموردون والدائنون</t>
  </si>
  <si>
    <t xml:space="preserve">Accounts Payable</t>
  </si>
  <si>
    <t xml:space="preserve">2111</t>
  </si>
  <si>
    <t xml:space="preserve">موردو الغزل</t>
  </si>
  <si>
    <t xml:space="preserve">Yarn Suppliers Payable</t>
  </si>
  <si>
    <t xml:space="preserve">2112</t>
  </si>
  <si>
    <t xml:space="preserve">موردو اللوازم</t>
  </si>
  <si>
    <t xml:space="preserve">Accessories Suppliers Payable</t>
  </si>
  <si>
    <t xml:space="preserve">2113</t>
  </si>
  <si>
    <t xml:space="preserve">مقاول النسيج</t>
  </si>
  <si>
    <t xml:space="preserve">Weaver Payable</t>
  </si>
  <si>
    <t xml:space="preserve">مستحقات النسّاج</t>
  </si>
  <si>
    <t xml:space="preserve">2114</t>
  </si>
  <si>
    <t xml:space="preserve">مقاول الصباغة</t>
  </si>
  <si>
    <t xml:space="preserve">Dyer Payable</t>
  </si>
  <si>
    <t xml:space="preserve">مستحقات الصبّاغ</t>
  </si>
  <si>
    <t xml:space="preserve">2115</t>
  </si>
  <si>
    <t xml:space="preserve">أوراق دفع</t>
  </si>
  <si>
    <t xml:space="preserve">Notes Payable</t>
  </si>
  <si>
    <t xml:space="preserve">2120</t>
  </si>
  <si>
    <t xml:space="preserve">ضرائب مستحقة</t>
  </si>
  <si>
    <t xml:space="preserve">Taxes Payable</t>
  </si>
  <si>
    <t xml:space="preserve">2121</t>
  </si>
  <si>
    <t xml:space="preserve">ضريبة القيمة المضافة</t>
  </si>
  <si>
    <t xml:space="preserve">VAT Payable</t>
  </si>
  <si>
    <t xml:space="preserve">2122</t>
  </si>
  <si>
    <t xml:space="preserve">ضريبة خصم من المنبع</t>
  </si>
  <si>
    <t xml:space="preserve">Withholding Tax</t>
  </si>
  <si>
    <t xml:space="preserve">2130</t>
  </si>
  <si>
    <t xml:space="preserve">رواتب مستحقة</t>
  </si>
  <si>
    <t xml:space="preserve">Salaries Payable</t>
  </si>
  <si>
    <t xml:space="preserve">2131</t>
  </si>
  <si>
    <t xml:space="preserve">تأمينات اجتماعية مستحقة</t>
  </si>
  <si>
    <t xml:space="preserve">Social Insurance Payable</t>
  </si>
  <si>
    <t xml:space="preserve">═══ حقوق الملكية ═══</t>
  </si>
  <si>
    <t xml:space="preserve">═══ EQUITY ═══</t>
  </si>
  <si>
    <t xml:space="preserve">3000</t>
  </si>
  <si>
    <t xml:space="preserve">حقوق الملكية</t>
  </si>
  <si>
    <t xml:space="preserve">Equity</t>
  </si>
  <si>
    <t xml:space="preserve">3100</t>
  </si>
  <si>
    <t xml:space="preserve">رأس المال</t>
  </si>
  <si>
    <t xml:space="preserve">Capital</t>
  </si>
  <si>
    <t xml:space="preserve">3200</t>
  </si>
  <si>
    <t xml:space="preserve">أرباح محتجزة</t>
  </si>
  <si>
    <t xml:space="preserve">Retained Earnings</t>
  </si>
  <si>
    <t xml:space="preserve">3300</t>
  </si>
  <si>
    <t xml:space="preserve">أرباح/خسائر العام</t>
  </si>
  <si>
    <t xml:space="preserve">Current Year P&amp;L</t>
  </si>
  <si>
    <t xml:space="preserve">═══ الإيرادات ═══</t>
  </si>
  <si>
    <t xml:space="preserve">═══ REVENUE ═══</t>
  </si>
  <si>
    <t xml:space="preserve">4000</t>
  </si>
  <si>
    <t xml:space="preserve">الإيرادات</t>
  </si>
  <si>
    <t xml:space="preserve">Revenue</t>
  </si>
  <si>
    <t xml:space="preserve">4100</t>
  </si>
  <si>
    <t xml:space="preserve">إيرادات مبيعات</t>
  </si>
  <si>
    <t xml:space="preserve">Sales Revenue</t>
  </si>
  <si>
    <t xml:space="preserve">4110</t>
  </si>
  <si>
    <t xml:space="preserve">مبيعات جملة</t>
  </si>
  <si>
    <t xml:space="preserve">Wholesale Sales</t>
  </si>
  <si>
    <t xml:space="preserve">4120</t>
  </si>
  <si>
    <t xml:space="preserve">مبيعات تجزئة</t>
  </si>
  <si>
    <t xml:space="preserve">Retail Sales</t>
  </si>
  <si>
    <t xml:space="preserve">4130</t>
  </si>
  <si>
    <t xml:space="preserve">مبيعات تصدير</t>
  </si>
  <si>
    <t xml:space="preserve">Export Sales</t>
  </si>
  <si>
    <t xml:space="preserve">4140</t>
  </si>
  <si>
    <t xml:space="preserve">مردودات مبيعات</t>
  </si>
  <si>
    <t xml:space="preserve">Sales Returns</t>
  </si>
  <si>
    <t xml:space="preserve">4150</t>
  </si>
  <si>
    <t xml:space="preserve">خصم مسموح به</t>
  </si>
  <si>
    <t xml:space="preserve">Sales Discounts</t>
  </si>
  <si>
    <t xml:space="preserve">4200</t>
  </si>
  <si>
    <t xml:space="preserve">إيرادات أخرى</t>
  </si>
  <si>
    <t xml:space="preserve">Other Revenue</t>
  </si>
  <si>
    <t xml:space="preserve">4210</t>
  </si>
  <si>
    <t xml:space="preserve">بيع هوالك ومخلفات</t>
  </si>
  <si>
    <t xml:space="preserve">Scrap Sales</t>
  </si>
  <si>
    <t xml:space="preserve">بيع بواقي القماش</t>
  </si>
  <si>
    <t xml:space="preserve">═══ تكلفة المبيعات ═══</t>
  </si>
  <si>
    <t xml:space="preserve">═══ COGS ═══</t>
  </si>
  <si>
    <t xml:space="preserve">5000</t>
  </si>
  <si>
    <t xml:space="preserve">تكلفة البضاعة المباعة</t>
  </si>
  <si>
    <t xml:space="preserve">Cost of Goods Sold</t>
  </si>
  <si>
    <t xml:space="preserve">5100</t>
  </si>
  <si>
    <t xml:space="preserve">تكلفة المواد المباشرة</t>
  </si>
  <si>
    <t xml:space="preserve">Direct Materials Cost</t>
  </si>
  <si>
    <t xml:space="preserve">5110</t>
  </si>
  <si>
    <t xml:space="preserve">تكلفة الغزل المستخدم</t>
  </si>
  <si>
    <t xml:space="preserve">Yarn Cost Used</t>
  </si>
  <si>
    <t xml:space="preserve">5120</t>
  </si>
  <si>
    <t xml:space="preserve">تكلفة اللوازم المستخدمة</t>
  </si>
  <si>
    <t xml:space="preserve">Accessories Cost Used</t>
  </si>
  <si>
    <t xml:space="preserve">5200</t>
  </si>
  <si>
    <t xml:space="preserve">تكلفة التشغيل الخارجي</t>
  </si>
  <si>
    <t xml:space="preserve">Outsourcing Cost</t>
  </si>
  <si>
    <t xml:space="preserve">5210</t>
  </si>
  <si>
    <t xml:space="preserve">تكلفة النسيج (مقاول)</t>
  </si>
  <si>
    <t xml:space="preserve">Weaving Cost (Outsourced)</t>
  </si>
  <si>
    <t xml:space="preserve">فاتورة النسّاج</t>
  </si>
  <si>
    <t xml:space="preserve">5220</t>
  </si>
  <si>
    <t xml:space="preserve">تكلفة الصباغة (مقاول)</t>
  </si>
  <si>
    <t xml:space="preserve">Dyeing Cost (Outsourced)</t>
  </si>
  <si>
    <t xml:space="preserve">فاتورة الصبّاغ</t>
  </si>
  <si>
    <t xml:space="preserve">5230</t>
  </si>
  <si>
    <t xml:space="preserve">تكلفة نقل للمقاولين</t>
  </si>
  <si>
    <t xml:space="preserve">Transport to Subcontractors</t>
  </si>
  <si>
    <t xml:space="preserve">5300</t>
  </si>
  <si>
    <t xml:space="preserve">تكلفة العمالة المباشرة</t>
  </si>
  <si>
    <t xml:space="preserve">Direct Labor Cost</t>
  </si>
  <si>
    <t xml:space="preserve">5310</t>
  </si>
  <si>
    <t xml:space="preserve">أجور عمال القص</t>
  </si>
  <si>
    <t xml:space="preserve">Cutting Workers Wages</t>
  </si>
  <si>
    <t xml:space="preserve">5320</t>
  </si>
  <si>
    <t xml:space="preserve">أجور عمال الخياطة</t>
  </si>
  <si>
    <t xml:space="preserve">Sewing Workers Wages</t>
  </si>
  <si>
    <t xml:space="preserve">5330</t>
  </si>
  <si>
    <t xml:space="preserve">أجور عمال التشطيب والكي</t>
  </si>
  <si>
    <t xml:space="preserve">Finishing Workers Wages</t>
  </si>
  <si>
    <t xml:space="preserve">5340</t>
  </si>
  <si>
    <t xml:space="preserve">أجور عمال التغليف</t>
  </si>
  <si>
    <t xml:space="preserve">Packing Workers Wages</t>
  </si>
  <si>
    <t xml:space="preserve">5400</t>
  </si>
  <si>
    <t xml:space="preserve">تكاليف صناعية غير مباشرة</t>
  </si>
  <si>
    <t xml:space="preserve">Manufacturing Overhead</t>
  </si>
  <si>
    <t xml:space="preserve">5410</t>
  </si>
  <si>
    <t xml:space="preserve">كهرباء المصنع</t>
  </si>
  <si>
    <t xml:space="preserve">Factory Electricity</t>
  </si>
  <si>
    <t xml:space="preserve">5420</t>
  </si>
  <si>
    <t xml:space="preserve">إيجار المصنع</t>
  </si>
  <si>
    <t xml:space="preserve">Factory Rent</t>
  </si>
  <si>
    <t xml:space="preserve">5430</t>
  </si>
  <si>
    <t xml:space="preserve">صيانة ماكينات</t>
  </si>
  <si>
    <t xml:space="preserve">Machine Maintenance</t>
  </si>
  <si>
    <t xml:space="preserve">5440</t>
  </si>
  <si>
    <t xml:space="preserve">إهلاك ماكينات المصنع</t>
  </si>
  <si>
    <t xml:space="preserve">Factory Machine Depreciation</t>
  </si>
  <si>
    <t xml:space="preserve">5450</t>
  </si>
  <si>
    <t xml:space="preserve">مستلزمات تشغيل (إبر، زيوت)</t>
  </si>
  <si>
    <t xml:space="preserve">Factory Supplies</t>
  </si>
  <si>
    <t xml:space="preserve">5460</t>
  </si>
  <si>
    <t xml:space="preserve">هالك إنتاج غير عادي</t>
  </si>
  <si>
    <t xml:space="preserve">Abnormal Production Waste</t>
  </si>
  <si>
    <t xml:space="preserve">═══ المصروفات التشغيلية ═══</t>
  </si>
  <si>
    <t xml:space="preserve">═══ OPEX ═══</t>
  </si>
  <si>
    <t xml:space="preserve">6000</t>
  </si>
  <si>
    <t xml:space="preserve">مصروفات تشغيلية</t>
  </si>
  <si>
    <t xml:space="preserve">Operating Expenses</t>
  </si>
  <si>
    <t xml:space="preserve">6100</t>
  </si>
  <si>
    <t xml:space="preserve">مصروفات بيعية وتسويقية</t>
  </si>
  <si>
    <t xml:space="preserve">Selling &amp; Marketing</t>
  </si>
  <si>
    <t xml:space="preserve">6110</t>
  </si>
  <si>
    <t xml:space="preserve">رواتب قسم المبيعات</t>
  </si>
  <si>
    <t xml:space="preserve">Sales Staff Salaries</t>
  </si>
  <si>
    <t xml:space="preserve">6120</t>
  </si>
  <si>
    <t xml:space="preserve">عمولات مبيعات</t>
  </si>
  <si>
    <t xml:space="preserve">Sales Commissions</t>
  </si>
  <si>
    <t xml:space="preserve">6130</t>
  </si>
  <si>
    <t xml:space="preserve">إعلانات وتسويق</t>
  </si>
  <si>
    <t xml:space="preserve">Advertising &amp; Marketing</t>
  </si>
  <si>
    <t xml:space="preserve">6140</t>
  </si>
  <si>
    <t xml:space="preserve">مصاريف شحن وتوصيل</t>
  </si>
  <si>
    <t xml:space="preserve">Shipping &amp; Delivery</t>
  </si>
  <si>
    <t xml:space="preserve">6200</t>
  </si>
  <si>
    <t xml:space="preserve">مصروفات إدارية وعمومية</t>
  </si>
  <si>
    <t xml:space="preserve">General &amp; Admin</t>
  </si>
  <si>
    <t xml:space="preserve">6210</t>
  </si>
  <si>
    <t xml:space="preserve">رواتب الإدارة</t>
  </si>
  <si>
    <t xml:space="preserve">Admin Salaries</t>
  </si>
  <si>
    <t xml:space="preserve">6220</t>
  </si>
  <si>
    <t xml:space="preserve">إيجار المكتب الإداري</t>
  </si>
  <si>
    <t xml:space="preserve">Office Rent</t>
  </si>
  <si>
    <t xml:space="preserve">6230</t>
  </si>
  <si>
    <t xml:space="preserve">أدوات مكتبية</t>
  </si>
  <si>
    <t xml:space="preserve">Office Supplies</t>
  </si>
  <si>
    <t xml:space="preserve">6240</t>
  </si>
  <si>
    <t xml:space="preserve">اتصالات وإنترنت</t>
  </si>
  <si>
    <t xml:space="preserve">Telecom &amp; Internet</t>
  </si>
  <si>
    <t xml:space="preserve">6250</t>
  </si>
  <si>
    <t xml:space="preserve">مصاريف قانونية ومحاسبية</t>
  </si>
  <si>
    <t xml:space="preserve">Legal &amp; Accounting Fees</t>
  </si>
  <si>
    <t xml:space="preserve">6260</t>
  </si>
  <si>
    <t xml:space="preserve">تأمينات</t>
  </si>
  <si>
    <t xml:space="preserve">Insurance</t>
  </si>
  <si>
    <t xml:space="preserve">المرحلة</t>
  </si>
  <si>
    <t xml:space="preserve">الحدث</t>
  </si>
  <si>
    <t xml:space="preserve">الحساب المدين</t>
  </si>
  <si>
    <t xml:space="preserve">الحساب الدائن</t>
  </si>
  <si>
    <t xml:space="preserve">المبلغ (مثال)</t>
  </si>
  <si>
    <t xml:space="preserve">الشرح</t>
  </si>
  <si>
    <t xml:space="preserve">المرحلة 1</t>
  </si>
  <si>
    <t xml:space="preserve">═══ شراء الغزل ═══</t>
  </si>
  <si>
    <t xml:space="preserve">1.1</t>
  </si>
  <si>
    <t xml:space="preserve">شراء غزل من المورد (آجل)</t>
  </si>
  <si>
    <t xml:space="preserve">1131 مخزون غزل</t>
  </si>
  <si>
    <t xml:space="preserve">2111 موردو الغزل</t>
  </si>
  <si>
    <t xml:space="preserve">100,000</t>
  </si>
  <si>
    <t xml:space="preserve">شراء 1000 كجم غزل قطن</t>
  </si>
  <si>
    <t xml:space="preserve">2121 ض.ق.م مدينة</t>
  </si>
  <si>
    <t xml:space="preserve">14,000</t>
  </si>
  <si>
    <t xml:space="preserve">VAT 14%</t>
  </si>
  <si>
    <t xml:space="preserve">1.2</t>
  </si>
  <si>
    <t xml:space="preserve">سداد المورد نقدًا</t>
  </si>
  <si>
    <t xml:space="preserve">1111 الصندوق</t>
  </si>
  <si>
    <t xml:space="preserve">114,000</t>
  </si>
  <si>
    <t xml:space="preserve">سداد كامل شامل الضريبة</t>
  </si>
  <si>
    <t xml:space="preserve">1.3</t>
  </si>
  <si>
    <t xml:space="preserve">شراء لوازم (أزرار، سحابات)</t>
  </si>
  <si>
    <t xml:space="preserve">1132 مخزون لوازم</t>
  </si>
  <si>
    <t xml:space="preserve">2112 موردو اللوازم</t>
  </si>
  <si>
    <t xml:space="preserve">15,000</t>
  </si>
  <si>
    <t xml:space="preserve">المرحلة 2</t>
  </si>
  <si>
    <t xml:space="preserve">═══ النسيج الخارجي ═══</t>
  </si>
  <si>
    <t xml:space="preserve">2.1</t>
  </si>
  <si>
    <t xml:space="preserve">إرسال الغزل لمقاول النسيج</t>
  </si>
  <si>
    <t xml:space="preserve">1133 مخزون لدى النسّاج</t>
  </si>
  <si>
    <t xml:space="preserve">إذن صرف — تحويل بين مخازن</t>
  </si>
  <si>
    <t xml:space="preserve">2.2</t>
  </si>
  <si>
    <t xml:space="preserve">استلام قماش خام من النسّاج</t>
  </si>
  <si>
    <t xml:space="preserve">1134 مخزون قماش خام</t>
  </si>
  <si>
    <t xml:space="preserve">إذن استلام — تكلفة الغزل</t>
  </si>
  <si>
    <t xml:space="preserve">2.3</t>
  </si>
  <si>
    <t xml:space="preserve">تسجيل فاتورة مقاول النسيج</t>
  </si>
  <si>
    <t xml:space="preserve">2113 مقاول النسيج</t>
  </si>
  <si>
    <t xml:space="preserve">30,000</t>
  </si>
  <si>
    <t xml:space="preserve">أجرة النسيج تُحمّل على القماش</t>
  </si>
  <si>
    <t xml:space="preserve">2122 ض. خصم منبع</t>
  </si>
  <si>
    <t xml:space="preserve">600</t>
  </si>
  <si>
    <t xml:space="preserve">خصم 2% من فاتورة المقاول</t>
  </si>
  <si>
    <t xml:space="preserve">2.4</t>
  </si>
  <si>
    <t xml:space="preserve">سداد مقاول النسيج</t>
  </si>
  <si>
    <t xml:space="preserve">1112 البنك</t>
  </si>
  <si>
    <t xml:space="preserve">29,400</t>
  </si>
  <si>
    <t xml:space="preserve">صافي بعد خصم المنبع</t>
  </si>
  <si>
    <t xml:space="preserve">✦ تكلفة القماش الخام = 130,000</t>
  </si>
  <si>
    <t xml:space="preserve">غزل 100K + نسيج 30K</t>
  </si>
  <si>
    <t xml:space="preserve">المرحلة 3</t>
  </si>
  <si>
    <t xml:space="preserve">═══ الصباغة الخارجية ═══</t>
  </si>
  <si>
    <t xml:space="preserve">3.1</t>
  </si>
  <si>
    <t xml:space="preserve">إرسال قماش خام للصبّاغ</t>
  </si>
  <si>
    <t xml:space="preserve">1135 مخزون لدى الصبّاغ</t>
  </si>
  <si>
    <t xml:space="preserve">130,000</t>
  </si>
  <si>
    <t xml:space="preserve">3.2</t>
  </si>
  <si>
    <t xml:space="preserve">استلام قماش مصبوغ</t>
  </si>
  <si>
    <t xml:space="preserve">1136 مخزون قماش مصبوغ</t>
  </si>
  <si>
    <t xml:space="preserve">إذن استلام — بتكلفة القماش</t>
  </si>
  <si>
    <t xml:space="preserve">3.3</t>
  </si>
  <si>
    <t xml:space="preserve">تسجيل فاتورة مقاول الصباغة</t>
  </si>
  <si>
    <t xml:space="preserve">2114 مقاول الصباغة</t>
  </si>
  <si>
    <t xml:space="preserve">25,000</t>
  </si>
  <si>
    <t xml:space="preserve">أجرة الصباغة تُحمّل على القماش</t>
  </si>
  <si>
    <t xml:space="preserve">500</t>
  </si>
  <si>
    <t xml:space="preserve">خصم 2%</t>
  </si>
  <si>
    <t xml:space="preserve">3.4</t>
  </si>
  <si>
    <t xml:space="preserve">سداد مقاول الصباغة</t>
  </si>
  <si>
    <t xml:space="preserve">24,500</t>
  </si>
  <si>
    <t xml:space="preserve">✦ تكلفة القماش المصبوغ = 155,000</t>
  </si>
  <si>
    <t xml:space="preserve">غزل 100K + نسيج 30K + صباغة 25K</t>
  </si>
  <si>
    <t xml:space="preserve">المرحلة 4</t>
  </si>
  <si>
    <t xml:space="preserve">═══ التصنيع الداخلي ═══</t>
  </si>
  <si>
    <t xml:space="preserve">4.1</t>
  </si>
  <si>
    <t xml:space="preserve">صرف قماش مصبوغ لخط الإنتاج</t>
  </si>
  <si>
    <t xml:space="preserve">1137 مخزون تحت التشغيل</t>
  </si>
  <si>
    <t xml:space="preserve">155,000</t>
  </si>
  <si>
    <t xml:space="preserve">إذن صرف لأمر التشغيل</t>
  </si>
  <si>
    <t xml:space="preserve">4.2</t>
  </si>
  <si>
    <t xml:space="preserve">صرف لوازم لخط الإنتاج</t>
  </si>
  <si>
    <t xml:space="preserve">10,000</t>
  </si>
  <si>
    <t xml:space="preserve">أزرار + سحابات + خيوط</t>
  </si>
  <si>
    <t xml:space="preserve">4.3</t>
  </si>
  <si>
    <t xml:space="preserve">تحميل أجور عمال مباشرة</t>
  </si>
  <si>
    <t xml:space="preserve">5300 عمالة مباشرة</t>
  </si>
  <si>
    <t xml:space="preserve">35,000</t>
  </si>
  <si>
    <t xml:space="preserve">قص + خياطة + تشطيب + تغليف</t>
  </si>
  <si>
    <t xml:space="preserve">4.4</t>
  </si>
  <si>
    <t xml:space="preserve">تحميل تكاليف صناعية غير مباشرة</t>
  </si>
  <si>
    <t xml:space="preserve">5400 ت. صناعية غ.م.</t>
  </si>
  <si>
    <t xml:space="preserve">20,000</t>
  </si>
  <si>
    <t xml:space="preserve">كهرباء + إيجار + إهلاك + صيانة</t>
  </si>
  <si>
    <t xml:space="preserve">4.5</t>
  </si>
  <si>
    <t xml:space="preserve">إثبات الهالك الطبيعي</t>
  </si>
  <si>
    <t xml:space="preserve">5460 هالك إنتاج</t>
  </si>
  <si>
    <t xml:space="preserve">5,000</t>
  </si>
  <si>
    <t xml:space="preserve">فاقد القص ≈ 2-3%</t>
  </si>
  <si>
    <t xml:space="preserve">4.6</t>
  </si>
  <si>
    <t xml:space="preserve">تحويل المنتجات التامة للمخزن</t>
  </si>
  <si>
    <t xml:space="preserve">1138 منتجات تامة الصنع</t>
  </si>
  <si>
    <t xml:space="preserve">215,000</t>
  </si>
  <si>
    <t xml:space="preserve">أمر توريد للمخزن</t>
  </si>
  <si>
    <t xml:space="preserve">✦ تكلفة الإنتاج = 220,000</t>
  </si>
  <si>
    <t xml:space="preserve">مواد 165K + عمالة 35K + غ.م. 20K</t>
  </si>
  <si>
    <t xml:space="preserve">✦ صافي بعد الهالك = 215,000</t>
  </si>
  <si>
    <t xml:space="preserve">المرحلة 5</t>
  </si>
  <si>
    <t xml:space="preserve">═══ المبيعات ═══</t>
  </si>
  <si>
    <t xml:space="preserve">5.1</t>
  </si>
  <si>
    <t xml:space="preserve">بيع جملة (آجل)</t>
  </si>
  <si>
    <t xml:space="preserve">1121 عملاء جملة</t>
  </si>
  <si>
    <t xml:space="preserve">4110 مبيعات جملة</t>
  </si>
  <si>
    <t xml:space="preserve">180,000</t>
  </si>
  <si>
    <t xml:space="preserve">فاتورة بيع 3000 قطعة</t>
  </si>
  <si>
    <t xml:space="preserve">2121 ض.ق.م دائنة</t>
  </si>
  <si>
    <t xml:space="preserve">25,200</t>
  </si>
  <si>
    <t xml:space="preserve">5.2</t>
  </si>
  <si>
    <t xml:space="preserve">إثبات تكلفة البضاعة المباعة</t>
  </si>
  <si>
    <t xml:space="preserve">5000 ت. بضاعة مباعة</t>
  </si>
  <si>
    <t xml:space="preserve">1138 منتجات تامة</t>
  </si>
  <si>
    <t xml:space="preserve">120,000</t>
  </si>
  <si>
    <t xml:space="preserve">تكلفة 3000 قطعة مباعة</t>
  </si>
  <si>
    <t xml:space="preserve">5.3</t>
  </si>
  <si>
    <t xml:space="preserve">بيع تجزئة (نقدي)</t>
  </si>
  <si>
    <t xml:space="preserve">4120 مبيعات تجزئة</t>
  </si>
  <si>
    <t xml:space="preserve">50,000</t>
  </si>
  <si>
    <t xml:space="preserve">5.4</t>
  </si>
  <si>
    <t xml:space="preserve">بيع تصدير</t>
  </si>
  <si>
    <t xml:space="preserve">1123 عملاء تصدير</t>
  </si>
  <si>
    <t xml:space="preserve">4130 مبيعات تصدير</t>
  </si>
  <si>
    <t xml:space="preserve">فاتورة بالدولار</t>
  </si>
  <si>
    <t xml:space="preserve">5.5</t>
  </si>
  <si>
    <t xml:space="preserve">4140 مردودات مبيعات</t>
  </si>
  <si>
    <t xml:space="preserve">إشعار خصم</t>
  </si>
  <si>
    <t xml:space="preserve">5.6</t>
  </si>
  <si>
    <t xml:space="preserve">تحصيل من عملاء</t>
  </si>
  <si>
    <t xml:space="preserve">200,200</t>
  </si>
  <si>
    <t xml:space="preserve">تحصيل شامل الضريبة</t>
  </si>
  <si>
    <t xml:space="preserve">5.7</t>
  </si>
  <si>
    <t xml:space="preserve">بيع هوالك ومخلفات قماش</t>
  </si>
  <si>
    <t xml:space="preserve">4210 بيع هوالك</t>
  </si>
  <si>
    <t xml:space="preserve">3,000</t>
  </si>
  <si>
    <t xml:space="preserve">بيع بواقي القص</t>
  </si>
  <si>
    <t xml:space="preserve">شهري</t>
  </si>
  <si>
    <t xml:space="preserve">═══ قيود شهرية ═══</t>
  </si>
  <si>
    <t xml:space="preserve">م.1</t>
  </si>
  <si>
    <t xml:space="preserve">رواتب الإدارة والمبيعات</t>
  </si>
  <si>
    <t xml:space="preserve">6210 رواتب إدارة + 6110 رواتب مبيعات</t>
  </si>
  <si>
    <t xml:space="preserve">2130 رواتب مستحقة</t>
  </si>
  <si>
    <t xml:space="preserve">40,000</t>
  </si>
  <si>
    <t xml:space="preserve">م.2</t>
  </si>
  <si>
    <t xml:space="preserve">إهلاك ماكينات شهري</t>
  </si>
  <si>
    <t xml:space="preserve">5440 إهلاك ماكينات</t>
  </si>
  <si>
    <t xml:space="preserve">1250 مجمع إهلاك</t>
  </si>
  <si>
    <t xml:space="preserve">م.3</t>
  </si>
  <si>
    <t xml:space="preserve">5410 كهرباء المصنع</t>
  </si>
  <si>
    <t xml:space="preserve">8,000</t>
  </si>
  <si>
    <t xml:space="preserve">م.4</t>
  </si>
  <si>
    <t xml:space="preserve">5420 إيجار المصنع</t>
  </si>
  <si>
    <t xml:space="preserve">بطاقة تكلفة المنتج — تيشيرت قطن مصبوغ</t>
  </si>
  <si>
    <t xml:space="preserve">بند التكلفة</t>
  </si>
  <si>
    <t xml:space="preserve">التفصيل</t>
  </si>
  <si>
    <t xml:space="preserve">التكلفة (ج.م.)</t>
  </si>
  <si>
    <t xml:space="preserve">النسبة %</t>
  </si>
  <si>
    <t xml:space="preserve">المواد المباشرة</t>
  </si>
  <si>
    <t xml:space="preserve">  غزل قطن</t>
  </si>
  <si>
    <t xml:space="preserve">0.5 كجم × 100 ج.م./كجم</t>
  </si>
  <si>
    <t xml:space="preserve">  أجرة نسيج</t>
  </si>
  <si>
    <t xml:space="preserve">0.5 كجم × 30 ج.م./كجم</t>
  </si>
  <si>
    <t xml:space="preserve">  أجرة صباغة</t>
  </si>
  <si>
    <t xml:space="preserve">0.5 كجم × 25 ج.م./كجم</t>
  </si>
  <si>
    <t xml:space="preserve">  لوازم (أزرار + خيط + ليبل)</t>
  </si>
  <si>
    <t xml:space="preserve">حسب الموديل</t>
  </si>
  <si>
    <t xml:space="preserve">  إجمالي المواد المباشرة</t>
  </si>
  <si>
    <t xml:space="preserve">العمالة المباشرة</t>
  </si>
  <si>
    <t xml:space="preserve">  قص</t>
  </si>
  <si>
    <t xml:space="preserve">5 دقائق × 0.5 ج.م./دقيقة</t>
  </si>
  <si>
    <t xml:space="preserve">  خياطة</t>
  </si>
  <si>
    <t xml:space="preserve">15 دقيقة × 0.5 ج.م./دقيقة</t>
  </si>
  <si>
    <t xml:space="preserve">  تشطيب وكي</t>
  </si>
  <si>
    <t xml:space="preserve">5 دقائق × 0.4 ج.م./دقيقة</t>
  </si>
  <si>
    <t xml:space="preserve">  تغليف</t>
  </si>
  <si>
    <t xml:space="preserve">3 دقائق × 0.3 ج.م./دقيقة</t>
  </si>
  <si>
    <t xml:space="preserve">  إجمالي العمالة المباشرة</t>
  </si>
  <si>
    <t xml:space="preserve">  كهرباء (نصيب القطعة)</t>
  </si>
  <si>
    <t xml:space="preserve">إجمالي ÷ عدد القطع</t>
  </si>
  <si>
    <t xml:space="preserve">  إهلاك ماكينات (نصيب القطعة)</t>
  </si>
  <si>
    <t xml:space="preserve">  صيانة + مستلزمات تشغيل</t>
  </si>
  <si>
    <t xml:space="preserve">تقديري</t>
  </si>
  <si>
    <t xml:space="preserve">  إيجار مصنع (نصيب القطعة)</t>
  </si>
  <si>
    <t xml:space="preserve">  إجمالي ت. صناعية غ.م.</t>
  </si>
  <si>
    <t xml:space="preserve">  هالك طبيعي (2.5%)</t>
  </si>
  <si>
    <t xml:space="preserve">═══ إجمالي تكلفة الإنتاج ═══</t>
  </si>
  <si>
    <t xml:space="preserve">مصاريف بيعية (نصيب القطعة)</t>
  </si>
  <si>
    <t xml:space="preserve">مصاريف إدارية (نصيب القطعة)</t>
  </si>
  <si>
    <t xml:space="preserve">═══ التكلفة الإجمالية للقطعة ═══</t>
  </si>
  <si>
    <t xml:space="preserve">هامش الربح المستهدف (30%)</t>
  </si>
  <si>
    <t xml:space="preserve">═══ سعر البيع المقترح ═══</t>
  </si>
  <si>
    <t xml:space="preserve">العملية</t>
  </si>
  <si>
    <t xml:space="preserve">من مخزن</t>
  </si>
  <si>
    <t xml:space="preserve">إلى مخزن</t>
  </si>
  <si>
    <t xml:space="preserve">المستند</t>
  </si>
  <si>
    <t xml:space="preserve">الحالة</t>
  </si>
  <si>
    <t xml:space="preserve">1. الشراء</t>
  </si>
  <si>
    <t xml:space="preserve">استلام غزل من المورد</t>
  </si>
  <si>
    <t xml:space="preserve">—</t>
  </si>
  <si>
    <t xml:space="preserve">أمر شراء + فاتورة</t>
  </si>
  <si>
    <t xml:space="preserve">غزل خام</t>
  </si>
  <si>
    <t xml:space="preserve">استلام لوازم</t>
  </si>
  <si>
    <t xml:space="preserve">أزرار، سحابات</t>
  </si>
  <si>
    <t xml:space="preserve">2. النسيج</t>
  </si>
  <si>
    <t xml:space="preserve">إرسال غزل للنسّاج</t>
  </si>
  <si>
    <t xml:space="preserve">1133 لدى النسّاج</t>
  </si>
  <si>
    <t xml:space="preserve">إذن صرف خارجي</t>
  </si>
  <si>
    <t xml:space="preserve">خارج المصنع</t>
  </si>
  <si>
    <t xml:space="preserve">استلام قماش خام</t>
  </si>
  <si>
    <t xml:space="preserve">1134 قماش خام</t>
  </si>
  <si>
    <t xml:space="preserve">إذن استلام + فاتورة مقاول</t>
  </si>
  <si>
    <t xml:space="preserve">قماش غير مصبوغ</t>
  </si>
  <si>
    <t xml:space="preserve">3. الصباغة</t>
  </si>
  <si>
    <t xml:space="preserve">إرسال قماش للصبّاغ</t>
  </si>
  <si>
    <t xml:space="preserve">1135 لدى الصبّاغ</t>
  </si>
  <si>
    <t xml:space="preserve">1136 قماش مصبوغ</t>
  </si>
  <si>
    <t xml:space="preserve">قماش جاهز للقص</t>
  </si>
  <si>
    <t xml:space="preserve">4. الإنتاج</t>
  </si>
  <si>
    <t xml:space="preserve">صرف قماش لخط الإنتاج</t>
  </si>
  <si>
    <t xml:space="preserve">1137 تحت التشغيل</t>
  </si>
  <si>
    <t xml:space="preserve">أمر تشغيل + إذن صرف</t>
  </si>
  <si>
    <t xml:space="preserve">في خط الإنتاج</t>
  </si>
  <si>
    <t xml:space="preserve">إذن صرف</t>
  </si>
  <si>
    <t xml:space="preserve">إثبات هالك القص</t>
  </si>
  <si>
    <t xml:space="preserve">1139 هالك</t>
  </si>
  <si>
    <t xml:space="preserve">محضر هالك</t>
  </si>
  <si>
    <t xml:space="preserve">بواقي قماش</t>
  </si>
  <si>
    <t xml:space="preserve">توريد منتج تام للمخزن</t>
  </si>
  <si>
    <t xml:space="preserve">أمر توريد</t>
  </si>
  <si>
    <t xml:space="preserve">جاهز للبيع</t>
  </si>
  <si>
    <t xml:space="preserve">5. البيع</t>
  </si>
  <si>
    <t xml:space="preserve">صرف منتجات للعميل</t>
  </si>
  <si>
    <t xml:space="preserve">فاتورة بيع + إذن صرف</t>
  </si>
  <si>
    <t xml:space="preserve">مباع</t>
  </si>
  <si>
    <t xml:space="preserve">مَن يصدره</t>
  </si>
  <si>
    <t xml:space="preserve">مَن يعتمده</t>
  </si>
  <si>
    <t xml:space="preserve">عدد النسخ</t>
  </si>
  <si>
    <t xml:space="preserve">الغرض</t>
  </si>
  <si>
    <t xml:space="preserve">الشراء</t>
  </si>
  <si>
    <t xml:space="preserve">طلب شراء</t>
  </si>
  <si>
    <t xml:space="preserve">مدير الإنتاج</t>
  </si>
  <si>
    <t xml:space="preserve">مدير المشتريات</t>
  </si>
  <si>
    <t xml:space="preserve">تحديد الاحتياج</t>
  </si>
  <si>
    <t xml:space="preserve">أمر شراء (PO)</t>
  </si>
  <si>
    <t xml:space="preserve">المشتريات</t>
  </si>
  <si>
    <t xml:space="preserve">المدير المالي</t>
  </si>
  <si>
    <t xml:space="preserve">اتفاق مع المورد</t>
  </si>
  <si>
    <t xml:space="preserve">إذن استلام مخزن</t>
  </si>
  <si>
    <t xml:space="preserve">أمين المخزن</t>
  </si>
  <si>
    <t xml:space="preserve">مدير المخازن</t>
  </si>
  <si>
    <t xml:space="preserve">تأكيد الاستلام والفحص</t>
  </si>
  <si>
    <t xml:space="preserve">فاتورة المورد</t>
  </si>
  <si>
    <t xml:space="preserve">المورد</t>
  </si>
  <si>
    <t xml:space="preserve">المحاسب</t>
  </si>
  <si>
    <t xml:space="preserve">إثبات الدين</t>
  </si>
  <si>
    <t xml:space="preserve">النسيج</t>
  </si>
  <si>
    <t xml:space="preserve">خروج الغزل من المخزن</t>
  </si>
  <si>
    <t xml:space="preserve">محضر تسليم للمقاول</t>
  </si>
  <si>
    <t xml:space="preserve">أمين المخزن + المقاول</t>
  </si>
  <si>
    <t xml:space="preserve">إثبات التسليم بالوزن</t>
  </si>
  <si>
    <t xml:space="preserve">محضر استلام من المقاول</t>
  </si>
  <si>
    <t xml:space="preserve">فحص الجودة + الوزن</t>
  </si>
  <si>
    <t xml:space="preserve">فاتورة مقاول النسيج</t>
  </si>
  <si>
    <t xml:space="preserve">المقاول</t>
  </si>
  <si>
    <t xml:space="preserve">إثبات تكلفة النسيج</t>
  </si>
  <si>
    <t xml:space="preserve">الصباغة</t>
  </si>
  <si>
    <t xml:space="preserve">خروج القماش من المخزن</t>
  </si>
  <si>
    <t xml:space="preserve">محضر تسليم للصبّاغ</t>
  </si>
  <si>
    <t xml:space="preserve">أمين المخزن + الصبّاغ</t>
  </si>
  <si>
    <t xml:space="preserve">إثبات بالوزن واللون المطلوب</t>
  </si>
  <si>
    <t xml:space="preserve">محضر استلام من الصبّاغ</t>
  </si>
  <si>
    <t xml:space="preserve">مدير الإنتاج + الجودة</t>
  </si>
  <si>
    <t xml:space="preserve">فحص اللون والجودة</t>
  </si>
  <si>
    <t xml:space="preserve">فاتورة مقاول الصباغة</t>
  </si>
  <si>
    <t xml:space="preserve">إثبات تكلفة الصباغة</t>
  </si>
  <si>
    <t xml:space="preserve">الإنتاج</t>
  </si>
  <si>
    <t xml:space="preserve">أمر تشغيل (Work Order)</t>
  </si>
  <si>
    <t xml:space="preserve">المدير العام</t>
  </si>
  <si>
    <t xml:space="preserve">بدء الإنتاج بكمية محددة</t>
  </si>
  <si>
    <t xml:space="preserve">إذن صرف مواد للإنتاج</t>
  </si>
  <si>
    <t xml:space="preserve">مشرف خط الإنتاج</t>
  </si>
  <si>
    <t xml:space="preserve">صرف قماش + لوازم</t>
  </si>
  <si>
    <t xml:space="preserve">تقرير إنتاج يومي</t>
  </si>
  <si>
    <t xml:space="preserve">مشرف الخط</t>
  </si>
  <si>
    <t xml:space="preserve">متابعة الإنجاز</t>
  </si>
  <si>
    <t xml:space="preserve">مراقب الجودة</t>
  </si>
  <si>
    <t xml:space="preserve">مدير الإنتاج + المالي</t>
  </si>
  <si>
    <t xml:space="preserve">إثبات الفاقد والمعيب</t>
  </si>
  <si>
    <t xml:space="preserve">أمين مخزن المنتجات</t>
  </si>
  <si>
    <t xml:space="preserve">دخول المنتج التام</t>
  </si>
  <si>
    <t xml:space="preserve">البيع</t>
  </si>
  <si>
    <t xml:space="preserve">أمر بيع (Sales Order)</t>
  </si>
  <si>
    <t xml:space="preserve">قسم المبيعات</t>
  </si>
  <si>
    <t xml:space="preserve">المدير التجاري</t>
  </si>
  <si>
    <t xml:space="preserve">اتفاق مع العميل</t>
  </si>
  <si>
    <t xml:space="preserve">فاتورة بيع</t>
  </si>
  <si>
    <t xml:space="preserve">إثبات الإيراد</t>
  </si>
  <si>
    <t xml:space="preserve">إذن صرف منتجات</t>
  </si>
  <si>
    <t xml:space="preserve">المبيعات</t>
  </si>
  <si>
    <t xml:space="preserve">خروج البضاعة</t>
  </si>
  <si>
    <t xml:space="preserve">إشعار شحن</t>
  </si>
  <si>
    <t xml:space="preserve">قسم الشحن</t>
  </si>
  <si>
    <t xml:space="preserve">تأكيد التسليم</t>
  </si>
  <si>
    <t xml:space="preserve">سند قبض</t>
  </si>
  <si>
    <t xml:space="preserve">الخزينة</t>
  </si>
  <si>
    <t xml:space="preserve">تحصيل من العميل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</si>
</sst>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2F7FB"/>
        <bgColor rgb="FFFFFFFF"/>
      </patternFill>
    </fill>
    <fill>
      <patternFill patternType="solid">
        <fgColor rgb="FFD6E4F0"/>
        <bgColor rgb="FFD6EAD6"/>
      </patternFill>
    </fill>
    <fill>
      <patternFill patternType="solid">
        <fgColor rgb="FFE2EFDA"/>
        <bgColor rgb="FFD6EAD6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D0F0"/>
        <bgColor rgb="FFD6E4F0"/>
      </patternFill>
    </fill>
    <fill>
      <patternFill patternType="solid">
        <fgColor rgb="FFD6EA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E2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D6EAD6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8"/>
    <col collapsed="false" customWidth="true" hidden="false" outlineLevel="0" max="5" min="4" style="0" width="10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/>
      <c r="B2" s="2" t="s">
        <v>6</v>
      </c>
      <c r="C2" s="2" t="s">
        <v>7</v>
      </c>
      <c r="D2" s="2"/>
      <c r="E2" s="2"/>
      <c r="F2" s="2"/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/>
    </row>
    <row r="4" customFormat="false" ht="15" hidden="false" customHeight="false" outlineLevel="0" collapsed="false">
      <c r="A4" s="4" t="s">
        <v>13</v>
      </c>
      <c r="B4" s="5" t="s">
        <v>14</v>
      </c>
      <c r="C4" s="4" t="s">
        <v>15</v>
      </c>
      <c r="D4" s="4" t="s">
        <v>16</v>
      </c>
      <c r="E4" s="4" t="s">
        <v>17</v>
      </c>
      <c r="F4" s="4"/>
    </row>
    <row r="5" customFormat="false" ht="15" hidden="false" customHeight="false" outlineLevel="0" collapsed="false">
      <c r="A5" s="4" t="s">
        <v>18</v>
      </c>
      <c r="B5" s="5" t="s">
        <v>19</v>
      </c>
      <c r="C5" s="4" t="s">
        <v>20</v>
      </c>
      <c r="D5" s="4" t="s">
        <v>16</v>
      </c>
      <c r="E5" s="4" t="s">
        <v>21</v>
      </c>
      <c r="F5" s="4"/>
    </row>
    <row r="6" customFormat="false" ht="15" hidden="false" customHeight="false" outlineLevel="0" collapsed="false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/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25</v>
      </c>
      <c r="E7" s="4" t="s">
        <v>26</v>
      </c>
      <c r="F7" s="4"/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32</v>
      </c>
      <c r="D8" s="4" t="s">
        <v>25</v>
      </c>
      <c r="E8" s="4" t="s">
        <v>26</v>
      </c>
      <c r="F8" s="4"/>
    </row>
    <row r="9" customFormat="false" ht="15" hidden="false" customHeight="false" outlineLevel="0" collapsed="false">
      <c r="A9" s="4" t="s">
        <v>33</v>
      </c>
      <c r="B9" s="5" t="s">
        <v>34</v>
      </c>
      <c r="C9" s="4" t="s">
        <v>35</v>
      </c>
      <c r="D9" s="4" t="s">
        <v>16</v>
      </c>
      <c r="E9" s="4" t="s">
        <v>21</v>
      </c>
      <c r="F9" s="4"/>
    </row>
    <row r="10" customFormat="false" ht="15" hidden="false" customHeight="false" outlineLevel="0" collapsed="false">
      <c r="A10" s="4" t="s">
        <v>36</v>
      </c>
      <c r="B10" s="4" t="s">
        <v>37</v>
      </c>
      <c r="C10" s="4" t="s">
        <v>38</v>
      </c>
      <c r="D10" s="4" t="s">
        <v>25</v>
      </c>
      <c r="E10" s="4" t="s">
        <v>26</v>
      </c>
      <c r="F10" s="4"/>
    </row>
    <row r="11" customFormat="false" ht="15" hidden="false" customHeight="false" outlineLevel="0" collapsed="false">
      <c r="A11" s="4" t="s">
        <v>39</v>
      </c>
      <c r="B11" s="4" t="s">
        <v>40</v>
      </c>
      <c r="C11" s="4" t="s">
        <v>41</v>
      </c>
      <c r="D11" s="4" t="s">
        <v>25</v>
      </c>
      <c r="E11" s="4" t="s">
        <v>26</v>
      </c>
      <c r="F11" s="4"/>
    </row>
    <row r="12" customFormat="false" ht="15" hidden="false" customHeight="false" outlineLevel="0" collapsed="false">
      <c r="A12" s="4" t="s">
        <v>42</v>
      </c>
      <c r="B12" s="4" t="s">
        <v>43</v>
      </c>
      <c r="C12" s="4" t="s">
        <v>44</v>
      </c>
      <c r="D12" s="4" t="s">
        <v>25</v>
      </c>
      <c r="E12" s="4" t="s">
        <v>26</v>
      </c>
      <c r="F12" s="4"/>
    </row>
    <row r="13" customFormat="false" ht="15" hidden="false" customHeight="false" outlineLevel="0" collapsed="false">
      <c r="A13" s="4" t="s">
        <v>45</v>
      </c>
      <c r="B13" s="4" t="s">
        <v>46</v>
      </c>
      <c r="C13" s="4" t="s">
        <v>47</v>
      </c>
      <c r="D13" s="4" t="s">
        <v>25</v>
      </c>
      <c r="E13" s="4" t="s">
        <v>26</v>
      </c>
      <c r="F13" s="4"/>
    </row>
    <row r="14" customFormat="false" ht="15" hidden="false" customHeight="false" outlineLevel="0" collapsed="false">
      <c r="A14" s="4" t="s">
        <v>48</v>
      </c>
      <c r="B14" s="4" t="s">
        <v>49</v>
      </c>
      <c r="C14" s="4" t="s">
        <v>50</v>
      </c>
      <c r="D14" s="4" t="s">
        <v>25</v>
      </c>
      <c r="E14" s="4" t="s">
        <v>26</v>
      </c>
      <c r="F14" s="4"/>
    </row>
    <row r="15" customFormat="false" ht="15" hidden="false" customHeight="false" outlineLevel="0" collapsed="false">
      <c r="A15" s="6"/>
      <c r="B15" s="6" t="s">
        <v>51</v>
      </c>
      <c r="C15" s="6" t="s">
        <v>52</v>
      </c>
      <c r="D15" s="6"/>
      <c r="E15" s="6"/>
      <c r="F15" s="6"/>
    </row>
    <row r="16" customFormat="false" ht="15" hidden="false" customHeight="false" outlineLevel="0" collapsed="false">
      <c r="A16" s="4" t="s">
        <v>53</v>
      </c>
      <c r="B16" s="5" t="s">
        <v>54</v>
      </c>
      <c r="C16" s="4" t="s">
        <v>55</v>
      </c>
      <c r="D16" s="4" t="s">
        <v>16</v>
      </c>
      <c r="E16" s="4" t="s">
        <v>21</v>
      </c>
      <c r="F16" s="4"/>
    </row>
    <row r="17" customFormat="false" ht="15" hidden="false" customHeight="false" outlineLevel="0" collapsed="false">
      <c r="A17" s="4" t="s">
        <v>56</v>
      </c>
      <c r="B17" s="4" t="s">
        <v>57</v>
      </c>
      <c r="C17" s="4" t="s">
        <v>58</v>
      </c>
      <c r="D17" s="4" t="s">
        <v>25</v>
      </c>
      <c r="E17" s="4" t="s">
        <v>26</v>
      </c>
      <c r="F17" s="4" t="s">
        <v>59</v>
      </c>
    </row>
    <row r="18" customFormat="false" ht="15" hidden="false" customHeight="false" outlineLevel="0" collapsed="false">
      <c r="A18" s="4" t="s">
        <v>60</v>
      </c>
      <c r="B18" s="4" t="s">
        <v>61</v>
      </c>
      <c r="C18" s="4" t="s">
        <v>62</v>
      </c>
      <c r="D18" s="4" t="s">
        <v>25</v>
      </c>
      <c r="E18" s="4" t="s">
        <v>26</v>
      </c>
      <c r="F18" s="4" t="s">
        <v>63</v>
      </c>
    </row>
    <row r="19" customFormat="false" ht="15" hidden="false" customHeight="false" outlineLevel="0" collapsed="false">
      <c r="A19" s="4" t="s">
        <v>64</v>
      </c>
      <c r="B19" s="4" t="s">
        <v>65</v>
      </c>
      <c r="C19" s="4" t="s">
        <v>66</v>
      </c>
      <c r="D19" s="4" t="s">
        <v>25</v>
      </c>
      <c r="E19" s="4" t="s">
        <v>26</v>
      </c>
      <c r="F19" s="4" t="s">
        <v>67</v>
      </c>
    </row>
    <row r="20" customFormat="false" ht="15" hidden="false" customHeight="false" outlineLevel="0" collapsed="false">
      <c r="A20" s="4" t="s">
        <v>68</v>
      </c>
      <c r="B20" s="4" t="s">
        <v>69</v>
      </c>
      <c r="C20" s="4" t="s">
        <v>70</v>
      </c>
      <c r="D20" s="4" t="s">
        <v>25</v>
      </c>
      <c r="E20" s="4" t="s">
        <v>26</v>
      </c>
      <c r="F20" s="4" t="s">
        <v>71</v>
      </c>
    </row>
    <row r="21" customFormat="false" ht="15" hidden="false" customHeight="false" outlineLevel="0" collapsed="false">
      <c r="A21" s="4" t="s">
        <v>72</v>
      </c>
      <c r="B21" s="4" t="s">
        <v>73</v>
      </c>
      <c r="C21" s="4" t="s">
        <v>74</v>
      </c>
      <c r="D21" s="4" t="s">
        <v>25</v>
      </c>
      <c r="E21" s="4" t="s">
        <v>26</v>
      </c>
      <c r="F21" s="4" t="s">
        <v>75</v>
      </c>
    </row>
    <row r="22" customFormat="false" ht="15" hidden="false" customHeight="false" outlineLevel="0" collapsed="false">
      <c r="A22" s="4" t="s">
        <v>76</v>
      </c>
      <c r="B22" s="4" t="s">
        <v>77</v>
      </c>
      <c r="C22" s="4" t="s">
        <v>78</v>
      </c>
      <c r="D22" s="4" t="s">
        <v>25</v>
      </c>
      <c r="E22" s="4" t="s">
        <v>26</v>
      </c>
      <c r="F22" s="4" t="s">
        <v>79</v>
      </c>
    </row>
    <row r="23" customFormat="false" ht="15" hidden="false" customHeight="false" outlineLevel="0" collapsed="false">
      <c r="A23" s="4" t="s">
        <v>80</v>
      </c>
      <c r="B23" s="4" t="s">
        <v>81</v>
      </c>
      <c r="C23" s="4" t="s">
        <v>82</v>
      </c>
      <c r="D23" s="4" t="s">
        <v>25</v>
      </c>
      <c r="E23" s="4" t="s">
        <v>26</v>
      </c>
      <c r="F23" s="4" t="s">
        <v>83</v>
      </c>
    </row>
    <row r="24" customFormat="false" ht="15" hidden="false" customHeight="false" outlineLevel="0" collapsed="false">
      <c r="A24" s="4" t="s">
        <v>84</v>
      </c>
      <c r="B24" s="4" t="s">
        <v>85</v>
      </c>
      <c r="C24" s="4" t="s">
        <v>86</v>
      </c>
      <c r="D24" s="4" t="s">
        <v>25</v>
      </c>
      <c r="E24" s="4" t="s">
        <v>26</v>
      </c>
      <c r="F24" s="4" t="s">
        <v>87</v>
      </c>
    </row>
    <row r="25" customFormat="false" ht="15" hidden="false" customHeight="false" outlineLevel="0" collapsed="false">
      <c r="A25" s="4" t="s">
        <v>88</v>
      </c>
      <c r="B25" s="4" t="s">
        <v>89</v>
      </c>
      <c r="C25" s="4" t="s">
        <v>90</v>
      </c>
      <c r="D25" s="4" t="s">
        <v>25</v>
      </c>
      <c r="E25" s="4" t="s">
        <v>26</v>
      </c>
      <c r="F25" s="4" t="s">
        <v>91</v>
      </c>
    </row>
    <row r="26" customFormat="false" ht="15" hidden="false" customHeight="false" outlineLevel="0" collapsed="false">
      <c r="A26" s="4" t="s">
        <v>92</v>
      </c>
      <c r="B26" s="5" t="s">
        <v>93</v>
      </c>
      <c r="C26" s="4" t="s">
        <v>94</v>
      </c>
      <c r="D26" s="4" t="s">
        <v>16</v>
      </c>
      <c r="E26" s="4" t="s">
        <v>21</v>
      </c>
      <c r="F26" s="4"/>
    </row>
    <row r="27" customFormat="false" ht="15" hidden="false" customHeight="false" outlineLevel="0" collapsed="false">
      <c r="A27" s="4" t="s">
        <v>95</v>
      </c>
      <c r="B27" s="4" t="s">
        <v>96</v>
      </c>
      <c r="C27" s="4" t="s">
        <v>97</v>
      </c>
      <c r="D27" s="4" t="s">
        <v>25</v>
      </c>
      <c r="E27" s="4" t="s">
        <v>26</v>
      </c>
      <c r="F27" s="4" t="s">
        <v>98</v>
      </c>
    </row>
    <row r="28" customFormat="false" ht="15" hidden="false" customHeight="false" outlineLevel="0" collapsed="false">
      <c r="A28" s="4" t="s">
        <v>99</v>
      </c>
      <c r="B28" s="4" t="s">
        <v>100</v>
      </c>
      <c r="C28" s="4" t="s">
        <v>101</v>
      </c>
      <c r="D28" s="4" t="s">
        <v>25</v>
      </c>
      <c r="E28" s="4" t="s">
        <v>26</v>
      </c>
      <c r="F28" s="4" t="s">
        <v>102</v>
      </c>
    </row>
    <row r="29" customFormat="false" ht="15" hidden="false" customHeight="false" outlineLevel="0" collapsed="false">
      <c r="A29" s="4" t="s">
        <v>103</v>
      </c>
      <c r="B29" s="4" t="s">
        <v>104</v>
      </c>
      <c r="C29" s="4" t="s">
        <v>105</v>
      </c>
      <c r="D29" s="4" t="s">
        <v>25</v>
      </c>
      <c r="E29" s="4" t="s">
        <v>26</v>
      </c>
      <c r="F29" s="4"/>
    </row>
    <row r="30" customFormat="false" ht="15" hidden="false" customHeight="false" outlineLevel="0" collapsed="false">
      <c r="A30" s="4" t="s">
        <v>106</v>
      </c>
      <c r="B30" s="4" t="s">
        <v>107</v>
      </c>
      <c r="C30" s="4" t="s">
        <v>108</v>
      </c>
      <c r="D30" s="4" t="s">
        <v>25</v>
      </c>
      <c r="E30" s="4" t="s">
        <v>26</v>
      </c>
      <c r="F30" s="4"/>
    </row>
    <row r="31" customFormat="false" ht="15" hidden="false" customHeight="false" outlineLevel="0" collapsed="false">
      <c r="A31" s="6"/>
      <c r="B31" s="6" t="s">
        <v>109</v>
      </c>
      <c r="C31" s="6" t="s">
        <v>110</v>
      </c>
      <c r="D31" s="6"/>
      <c r="E31" s="6"/>
      <c r="F31" s="6"/>
    </row>
    <row r="32" customFormat="false" ht="15" hidden="false" customHeight="false" outlineLevel="0" collapsed="false">
      <c r="A32" s="4" t="s">
        <v>111</v>
      </c>
      <c r="B32" s="5" t="s">
        <v>112</v>
      </c>
      <c r="C32" s="4" t="s">
        <v>113</v>
      </c>
      <c r="D32" s="4" t="s">
        <v>16</v>
      </c>
      <c r="E32" s="4" t="s">
        <v>17</v>
      </c>
      <c r="F32" s="4"/>
    </row>
    <row r="33" customFormat="false" ht="15" hidden="false" customHeight="false" outlineLevel="0" collapsed="false">
      <c r="A33" s="4" t="s">
        <v>114</v>
      </c>
      <c r="B33" s="4" t="s">
        <v>115</v>
      </c>
      <c r="C33" s="4" t="s">
        <v>116</v>
      </c>
      <c r="D33" s="4" t="s">
        <v>25</v>
      </c>
      <c r="E33" s="4" t="s">
        <v>26</v>
      </c>
      <c r="F33" s="4"/>
    </row>
    <row r="34" customFormat="false" ht="15" hidden="false" customHeight="false" outlineLevel="0" collapsed="false">
      <c r="A34" s="4" t="s">
        <v>117</v>
      </c>
      <c r="B34" s="4" t="s">
        <v>118</v>
      </c>
      <c r="C34" s="4" t="s">
        <v>119</v>
      </c>
      <c r="D34" s="4" t="s">
        <v>25</v>
      </c>
      <c r="E34" s="4" t="s">
        <v>26</v>
      </c>
      <c r="F34" s="4"/>
    </row>
    <row r="35" customFormat="false" ht="15" hidden="false" customHeight="false" outlineLevel="0" collapsed="false">
      <c r="A35" s="4" t="s">
        <v>120</v>
      </c>
      <c r="B35" s="4" t="s">
        <v>121</v>
      </c>
      <c r="C35" s="4" t="s">
        <v>122</v>
      </c>
      <c r="D35" s="4" t="s">
        <v>25</v>
      </c>
      <c r="E35" s="4" t="s">
        <v>26</v>
      </c>
      <c r="F35" s="4"/>
    </row>
    <row r="36" customFormat="false" ht="15" hidden="false" customHeight="false" outlineLevel="0" collapsed="false">
      <c r="A36" s="4" t="s">
        <v>123</v>
      </c>
      <c r="B36" s="4" t="s">
        <v>124</v>
      </c>
      <c r="C36" s="4" t="s">
        <v>125</v>
      </c>
      <c r="D36" s="4" t="s">
        <v>25</v>
      </c>
      <c r="E36" s="4" t="s">
        <v>26</v>
      </c>
      <c r="F36" s="4"/>
    </row>
    <row r="37" customFormat="false" ht="15" hidden="false" customHeight="false" outlineLevel="0" collapsed="false">
      <c r="A37" s="4" t="s">
        <v>126</v>
      </c>
      <c r="B37" s="4" t="s">
        <v>127</v>
      </c>
      <c r="C37" s="4" t="s">
        <v>128</v>
      </c>
      <c r="D37" s="4" t="s">
        <v>25</v>
      </c>
      <c r="E37" s="4" t="s">
        <v>26</v>
      </c>
      <c r="F37" s="4"/>
    </row>
    <row r="38" customFormat="false" ht="15" hidden="false" customHeight="false" outlineLevel="0" collapsed="false">
      <c r="A38" s="4" t="s">
        <v>129</v>
      </c>
      <c r="B38" s="4" t="s">
        <v>130</v>
      </c>
      <c r="C38" s="4" t="s">
        <v>131</v>
      </c>
      <c r="D38" s="4" t="s">
        <v>25</v>
      </c>
      <c r="E38" s="4" t="s">
        <v>26</v>
      </c>
      <c r="F38" s="4"/>
    </row>
    <row r="39" customFormat="false" ht="15" hidden="false" customHeight="false" outlineLevel="0" collapsed="false">
      <c r="A39" s="4" t="s">
        <v>132</v>
      </c>
      <c r="B39" s="4" t="s">
        <v>133</v>
      </c>
      <c r="C39" s="4" t="s">
        <v>134</v>
      </c>
      <c r="D39" s="4" t="s">
        <v>25</v>
      </c>
      <c r="E39" s="4" t="s">
        <v>26</v>
      </c>
      <c r="F39" s="4"/>
    </row>
    <row r="40" customFormat="false" ht="15" hidden="false" customHeight="false" outlineLevel="0" collapsed="false">
      <c r="A40" s="4" t="s">
        <v>135</v>
      </c>
      <c r="B40" s="4" t="s">
        <v>136</v>
      </c>
      <c r="C40" s="4" t="s">
        <v>137</v>
      </c>
      <c r="D40" s="4" t="s">
        <v>25</v>
      </c>
      <c r="E40" s="4" t="s">
        <v>26</v>
      </c>
      <c r="F40" s="4" t="s">
        <v>138</v>
      </c>
    </row>
    <row r="42" customFormat="false" ht="15" hidden="false" customHeight="false" outlineLevel="0" collapsed="false">
      <c r="A42" s="2"/>
      <c r="B42" s="2" t="s">
        <v>139</v>
      </c>
      <c r="C42" s="2" t="s">
        <v>140</v>
      </c>
      <c r="D42" s="2"/>
      <c r="E42" s="2"/>
      <c r="F42" s="2"/>
    </row>
    <row r="43" customFormat="false" ht="15" hidden="false" customHeight="false" outlineLevel="0" collapsed="false">
      <c r="A43" s="3" t="s">
        <v>141</v>
      </c>
      <c r="B43" s="3" t="s">
        <v>142</v>
      </c>
      <c r="C43" s="3" t="s">
        <v>143</v>
      </c>
      <c r="D43" s="3" t="s">
        <v>11</v>
      </c>
      <c r="E43" s="3" t="s">
        <v>12</v>
      </c>
      <c r="F43" s="3"/>
    </row>
    <row r="44" customFormat="false" ht="15" hidden="false" customHeight="false" outlineLevel="0" collapsed="false">
      <c r="A44" s="4" t="s">
        <v>144</v>
      </c>
      <c r="B44" s="5" t="s">
        <v>145</v>
      </c>
      <c r="C44" s="4" t="s">
        <v>146</v>
      </c>
      <c r="D44" s="4" t="s">
        <v>16</v>
      </c>
      <c r="E44" s="4" t="s">
        <v>17</v>
      </c>
      <c r="F44" s="4"/>
    </row>
    <row r="45" customFormat="false" ht="15" hidden="false" customHeight="false" outlineLevel="0" collapsed="false">
      <c r="A45" s="4" t="s">
        <v>147</v>
      </c>
      <c r="B45" s="5" t="s">
        <v>148</v>
      </c>
      <c r="C45" s="4" t="s">
        <v>149</v>
      </c>
      <c r="D45" s="4" t="s">
        <v>16</v>
      </c>
      <c r="E45" s="4" t="s">
        <v>21</v>
      </c>
      <c r="F45" s="4"/>
    </row>
    <row r="46" customFormat="false" ht="15" hidden="false" customHeight="false" outlineLevel="0" collapsed="false">
      <c r="A46" s="4" t="s">
        <v>150</v>
      </c>
      <c r="B46" s="4" t="s">
        <v>151</v>
      </c>
      <c r="C46" s="4" t="s">
        <v>152</v>
      </c>
      <c r="D46" s="4" t="s">
        <v>25</v>
      </c>
      <c r="E46" s="4" t="s">
        <v>26</v>
      </c>
      <c r="F46" s="4"/>
    </row>
    <row r="47" customFormat="false" ht="15" hidden="false" customHeight="false" outlineLevel="0" collapsed="false">
      <c r="A47" s="4" t="s">
        <v>153</v>
      </c>
      <c r="B47" s="4" t="s">
        <v>154</v>
      </c>
      <c r="C47" s="4" t="s">
        <v>155</v>
      </c>
      <c r="D47" s="4" t="s">
        <v>25</v>
      </c>
      <c r="E47" s="4" t="s">
        <v>26</v>
      </c>
      <c r="F47" s="4"/>
    </row>
    <row r="48" customFormat="false" ht="15" hidden="false" customHeight="false" outlineLevel="0" collapsed="false">
      <c r="A48" s="4" t="s">
        <v>156</v>
      </c>
      <c r="B48" s="4" t="s">
        <v>157</v>
      </c>
      <c r="C48" s="4" t="s">
        <v>158</v>
      </c>
      <c r="D48" s="4" t="s">
        <v>25</v>
      </c>
      <c r="E48" s="4" t="s">
        <v>26</v>
      </c>
      <c r="F48" s="4" t="s">
        <v>159</v>
      </c>
    </row>
    <row r="49" customFormat="false" ht="15" hidden="false" customHeight="false" outlineLevel="0" collapsed="false">
      <c r="A49" s="4" t="s">
        <v>160</v>
      </c>
      <c r="B49" s="4" t="s">
        <v>161</v>
      </c>
      <c r="C49" s="4" t="s">
        <v>162</v>
      </c>
      <c r="D49" s="4" t="s">
        <v>25</v>
      </c>
      <c r="E49" s="4" t="s">
        <v>26</v>
      </c>
      <c r="F49" s="4" t="s">
        <v>163</v>
      </c>
    </row>
    <row r="50" customFormat="false" ht="15" hidden="false" customHeight="false" outlineLevel="0" collapsed="false">
      <c r="A50" s="4" t="s">
        <v>164</v>
      </c>
      <c r="B50" s="4" t="s">
        <v>165</v>
      </c>
      <c r="C50" s="4" t="s">
        <v>166</v>
      </c>
      <c r="D50" s="4" t="s">
        <v>25</v>
      </c>
      <c r="E50" s="4" t="s">
        <v>26</v>
      </c>
      <c r="F50" s="4"/>
    </row>
    <row r="51" customFormat="false" ht="15" hidden="false" customHeight="false" outlineLevel="0" collapsed="false">
      <c r="A51" s="4" t="s">
        <v>167</v>
      </c>
      <c r="B51" s="5" t="s">
        <v>168</v>
      </c>
      <c r="C51" s="4" t="s">
        <v>169</v>
      </c>
      <c r="D51" s="4" t="s">
        <v>16</v>
      </c>
      <c r="E51" s="4" t="s">
        <v>21</v>
      </c>
      <c r="F51" s="4"/>
    </row>
    <row r="52" customFormat="false" ht="15" hidden="false" customHeight="false" outlineLevel="0" collapsed="false">
      <c r="A52" s="4" t="s">
        <v>170</v>
      </c>
      <c r="B52" s="4" t="s">
        <v>171</v>
      </c>
      <c r="C52" s="4" t="s">
        <v>172</v>
      </c>
      <c r="D52" s="4" t="s">
        <v>25</v>
      </c>
      <c r="E52" s="4" t="s">
        <v>26</v>
      </c>
      <c r="F52" s="4"/>
    </row>
    <row r="53" customFormat="false" ht="15" hidden="false" customHeight="false" outlineLevel="0" collapsed="false">
      <c r="A53" s="4" t="s">
        <v>173</v>
      </c>
      <c r="B53" s="4" t="s">
        <v>174</v>
      </c>
      <c r="C53" s="4" t="s">
        <v>175</v>
      </c>
      <c r="D53" s="4" t="s">
        <v>25</v>
      </c>
      <c r="E53" s="4" t="s">
        <v>26</v>
      </c>
      <c r="F53" s="4"/>
    </row>
    <row r="54" customFormat="false" ht="15" hidden="false" customHeight="false" outlineLevel="0" collapsed="false">
      <c r="A54" s="4" t="s">
        <v>176</v>
      </c>
      <c r="B54" s="4" t="s">
        <v>177</v>
      </c>
      <c r="C54" s="4" t="s">
        <v>178</v>
      </c>
      <c r="D54" s="4" t="s">
        <v>25</v>
      </c>
      <c r="E54" s="4" t="s">
        <v>21</v>
      </c>
      <c r="F54" s="4"/>
    </row>
    <row r="55" customFormat="false" ht="15" hidden="false" customHeight="false" outlineLevel="0" collapsed="false">
      <c r="A55" s="4" t="s">
        <v>179</v>
      </c>
      <c r="B55" s="4" t="s">
        <v>180</v>
      </c>
      <c r="C55" s="4" t="s">
        <v>181</v>
      </c>
      <c r="D55" s="4" t="s">
        <v>25</v>
      </c>
      <c r="E55" s="4" t="s">
        <v>26</v>
      </c>
      <c r="F55" s="4"/>
    </row>
    <row r="57" customFormat="false" ht="15" hidden="false" customHeight="false" outlineLevel="0" collapsed="false">
      <c r="A57" s="2"/>
      <c r="B57" s="2" t="s">
        <v>182</v>
      </c>
      <c r="C57" s="2" t="s">
        <v>183</v>
      </c>
      <c r="D57" s="2"/>
      <c r="E57" s="2"/>
      <c r="F57" s="2"/>
    </row>
    <row r="58" customFormat="false" ht="15" hidden="false" customHeight="false" outlineLevel="0" collapsed="false">
      <c r="A58" s="3" t="s">
        <v>184</v>
      </c>
      <c r="B58" s="3" t="s">
        <v>185</v>
      </c>
      <c r="C58" s="3" t="s">
        <v>186</v>
      </c>
      <c r="D58" s="3" t="s">
        <v>11</v>
      </c>
      <c r="E58" s="3" t="s">
        <v>12</v>
      </c>
      <c r="F58" s="3"/>
    </row>
    <row r="59" customFormat="false" ht="15" hidden="false" customHeight="false" outlineLevel="0" collapsed="false">
      <c r="A59" s="4" t="s">
        <v>187</v>
      </c>
      <c r="B59" s="4" t="s">
        <v>188</v>
      </c>
      <c r="C59" s="4" t="s">
        <v>189</v>
      </c>
      <c r="D59" s="4" t="s">
        <v>25</v>
      </c>
      <c r="E59" s="4" t="s">
        <v>17</v>
      </c>
      <c r="F59" s="4"/>
    </row>
    <row r="60" customFormat="false" ht="15" hidden="false" customHeight="false" outlineLevel="0" collapsed="false">
      <c r="A60" s="4" t="s">
        <v>190</v>
      </c>
      <c r="B60" s="4" t="s">
        <v>191</v>
      </c>
      <c r="C60" s="4" t="s">
        <v>192</v>
      </c>
      <c r="D60" s="4" t="s">
        <v>25</v>
      </c>
      <c r="E60" s="4" t="s">
        <v>17</v>
      </c>
      <c r="F60" s="4"/>
    </row>
    <row r="61" customFormat="false" ht="15" hidden="false" customHeight="false" outlineLevel="0" collapsed="false">
      <c r="A61" s="4" t="s">
        <v>193</v>
      </c>
      <c r="B61" s="4" t="s">
        <v>194</v>
      </c>
      <c r="C61" s="4" t="s">
        <v>195</v>
      </c>
      <c r="D61" s="4" t="s">
        <v>25</v>
      </c>
      <c r="E61" s="4" t="s">
        <v>17</v>
      </c>
      <c r="F61" s="4"/>
    </row>
    <row r="63" customFormat="false" ht="15" hidden="false" customHeight="false" outlineLevel="0" collapsed="false">
      <c r="A63" s="2"/>
      <c r="B63" s="2" t="s">
        <v>196</v>
      </c>
      <c r="C63" s="2" t="s">
        <v>197</v>
      </c>
      <c r="D63" s="2"/>
      <c r="E63" s="2"/>
      <c r="F63" s="2"/>
    </row>
    <row r="64" customFormat="false" ht="15" hidden="false" customHeight="false" outlineLevel="0" collapsed="false">
      <c r="A64" s="3" t="s">
        <v>198</v>
      </c>
      <c r="B64" s="3" t="s">
        <v>199</v>
      </c>
      <c r="C64" s="3" t="s">
        <v>200</v>
      </c>
      <c r="D64" s="3" t="s">
        <v>11</v>
      </c>
      <c r="E64" s="3" t="s">
        <v>12</v>
      </c>
      <c r="F64" s="3"/>
    </row>
    <row r="65" customFormat="false" ht="15" hidden="false" customHeight="false" outlineLevel="0" collapsed="false">
      <c r="A65" s="4" t="s">
        <v>201</v>
      </c>
      <c r="B65" s="5" t="s">
        <v>202</v>
      </c>
      <c r="C65" s="4" t="s">
        <v>203</v>
      </c>
      <c r="D65" s="4" t="s">
        <v>16</v>
      </c>
      <c r="E65" s="4" t="s">
        <v>17</v>
      </c>
      <c r="F65" s="4"/>
    </row>
    <row r="66" customFormat="false" ht="15" hidden="false" customHeight="false" outlineLevel="0" collapsed="false">
      <c r="A66" s="4" t="s">
        <v>204</v>
      </c>
      <c r="B66" s="4" t="s">
        <v>205</v>
      </c>
      <c r="C66" s="4" t="s">
        <v>206</v>
      </c>
      <c r="D66" s="4" t="s">
        <v>25</v>
      </c>
      <c r="E66" s="4" t="s">
        <v>21</v>
      </c>
      <c r="F66" s="4"/>
    </row>
    <row r="67" customFormat="false" ht="15" hidden="false" customHeight="false" outlineLevel="0" collapsed="false">
      <c r="A67" s="4" t="s">
        <v>207</v>
      </c>
      <c r="B67" s="4" t="s">
        <v>208</v>
      </c>
      <c r="C67" s="4" t="s">
        <v>209</v>
      </c>
      <c r="D67" s="4" t="s">
        <v>25</v>
      </c>
      <c r="E67" s="4" t="s">
        <v>21</v>
      </c>
      <c r="F67" s="4"/>
    </row>
    <row r="68" customFormat="false" ht="15" hidden="false" customHeight="false" outlineLevel="0" collapsed="false">
      <c r="A68" s="4" t="s">
        <v>210</v>
      </c>
      <c r="B68" s="4" t="s">
        <v>211</v>
      </c>
      <c r="C68" s="4" t="s">
        <v>212</v>
      </c>
      <c r="D68" s="4" t="s">
        <v>25</v>
      </c>
      <c r="E68" s="4" t="s">
        <v>21</v>
      </c>
      <c r="F68" s="4"/>
    </row>
    <row r="69" customFormat="false" ht="15" hidden="false" customHeight="false" outlineLevel="0" collapsed="false">
      <c r="A69" s="4" t="s">
        <v>213</v>
      </c>
      <c r="B69" s="4" t="s">
        <v>214</v>
      </c>
      <c r="C69" s="4" t="s">
        <v>215</v>
      </c>
      <c r="D69" s="4" t="s">
        <v>25</v>
      </c>
      <c r="E69" s="4" t="s">
        <v>21</v>
      </c>
      <c r="F69" s="4" t="s">
        <v>138</v>
      </c>
    </row>
    <row r="70" customFormat="false" ht="15" hidden="false" customHeight="false" outlineLevel="0" collapsed="false">
      <c r="A70" s="4" t="s">
        <v>216</v>
      </c>
      <c r="B70" s="4" t="s">
        <v>217</v>
      </c>
      <c r="C70" s="4" t="s">
        <v>218</v>
      </c>
      <c r="D70" s="4" t="s">
        <v>25</v>
      </c>
      <c r="E70" s="4" t="s">
        <v>21</v>
      </c>
      <c r="F70" s="4" t="s">
        <v>138</v>
      </c>
    </row>
    <row r="71" customFormat="false" ht="15" hidden="false" customHeight="false" outlineLevel="0" collapsed="false">
      <c r="A71" s="4" t="s">
        <v>219</v>
      </c>
      <c r="B71" s="5" t="s">
        <v>220</v>
      </c>
      <c r="C71" s="4" t="s">
        <v>221</v>
      </c>
      <c r="D71" s="4" t="s">
        <v>16</v>
      </c>
      <c r="E71" s="4" t="s">
        <v>17</v>
      </c>
      <c r="F71" s="4"/>
    </row>
    <row r="72" customFormat="false" ht="15" hidden="false" customHeight="false" outlineLevel="0" collapsed="false">
      <c r="A72" s="4" t="s">
        <v>222</v>
      </c>
      <c r="B72" s="4" t="s">
        <v>223</v>
      </c>
      <c r="C72" s="4" t="s">
        <v>224</v>
      </c>
      <c r="D72" s="4" t="s">
        <v>25</v>
      </c>
      <c r="E72" s="4" t="s">
        <v>21</v>
      </c>
      <c r="F72" s="4" t="s">
        <v>225</v>
      </c>
    </row>
    <row r="74" customFormat="false" ht="15" hidden="false" customHeight="false" outlineLevel="0" collapsed="false">
      <c r="A74" s="2"/>
      <c r="B74" s="2" t="s">
        <v>226</v>
      </c>
      <c r="C74" s="2" t="s">
        <v>227</v>
      </c>
      <c r="D74" s="2"/>
      <c r="E74" s="2"/>
      <c r="F74" s="2"/>
    </row>
    <row r="75" customFormat="false" ht="15" hidden="false" customHeight="false" outlineLevel="0" collapsed="false">
      <c r="A75" s="3" t="s">
        <v>228</v>
      </c>
      <c r="B75" s="3" t="s">
        <v>229</v>
      </c>
      <c r="C75" s="3" t="s">
        <v>230</v>
      </c>
      <c r="D75" s="3" t="s">
        <v>11</v>
      </c>
      <c r="E75" s="3" t="s">
        <v>12</v>
      </c>
      <c r="F75" s="3"/>
    </row>
    <row r="76" customFormat="false" ht="15" hidden="false" customHeight="false" outlineLevel="0" collapsed="false">
      <c r="A76" s="4" t="s">
        <v>231</v>
      </c>
      <c r="B76" s="5" t="s">
        <v>232</v>
      </c>
      <c r="C76" s="4" t="s">
        <v>233</v>
      </c>
      <c r="D76" s="4" t="s">
        <v>16</v>
      </c>
      <c r="E76" s="4" t="s">
        <v>17</v>
      </c>
      <c r="F76" s="4"/>
    </row>
    <row r="77" customFormat="false" ht="15" hidden="false" customHeight="false" outlineLevel="0" collapsed="false">
      <c r="A77" s="4" t="s">
        <v>234</v>
      </c>
      <c r="B77" s="4" t="s">
        <v>235</v>
      </c>
      <c r="C77" s="4" t="s">
        <v>236</v>
      </c>
      <c r="D77" s="4" t="s">
        <v>25</v>
      </c>
      <c r="E77" s="4" t="s">
        <v>21</v>
      </c>
      <c r="F77" s="4"/>
    </row>
    <row r="78" customFormat="false" ht="15" hidden="false" customHeight="false" outlineLevel="0" collapsed="false">
      <c r="A78" s="4" t="s">
        <v>237</v>
      </c>
      <c r="B78" s="4" t="s">
        <v>238</v>
      </c>
      <c r="C78" s="4" t="s">
        <v>239</v>
      </c>
      <c r="D78" s="4" t="s">
        <v>25</v>
      </c>
      <c r="E78" s="4" t="s">
        <v>21</v>
      </c>
      <c r="F78" s="4"/>
    </row>
    <row r="79" customFormat="false" ht="15" hidden="false" customHeight="false" outlineLevel="0" collapsed="false">
      <c r="A79" s="4" t="s">
        <v>240</v>
      </c>
      <c r="B79" s="5" t="s">
        <v>241</v>
      </c>
      <c r="C79" s="4" t="s">
        <v>242</v>
      </c>
      <c r="D79" s="4" t="s">
        <v>16</v>
      </c>
      <c r="E79" s="4" t="s">
        <v>17</v>
      </c>
      <c r="F79" s="4"/>
    </row>
    <row r="80" customFormat="false" ht="15" hidden="false" customHeight="false" outlineLevel="0" collapsed="false">
      <c r="A80" s="4" t="s">
        <v>243</v>
      </c>
      <c r="B80" s="4" t="s">
        <v>244</v>
      </c>
      <c r="C80" s="4" t="s">
        <v>245</v>
      </c>
      <c r="D80" s="4" t="s">
        <v>25</v>
      </c>
      <c r="E80" s="4" t="s">
        <v>21</v>
      </c>
      <c r="F80" s="4" t="s">
        <v>246</v>
      </c>
    </row>
    <row r="81" customFormat="false" ht="15" hidden="false" customHeight="false" outlineLevel="0" collapsed="false">
      <c r="A81" s="4" t="s">
        <v>247</v>
      </c>
      <c r="B81" s="4" t="s">
        <v>248</v>
      </c>
      <c r="C81" s="4" t="s">
        <v>249</v>
      </c>
      <c r="D81" s="4" t="s">
        <v>25</v>
      </c>
      <c r="E81" s="4" t="s">
        <v>21</v>
      </c>
      <c r="F81" s="4" t="s">
        <v>250</v>
      </c>
    </row>
    <row r="82" customFormat="false" ht="15" hidden="false" customHeight="false" outlineLevel="0" collapsed="false">
      <c r="A82" s="4" t="s">
        <v>251</v>
      </c>
      <c r="B82" s="4" t="s">
        <v>252</v>
      </c>
      <c r="C82" s="4" t="s">
        <v>253</v>
      </c>
      <c r="D82" s="4" t="s">
        <v>25</v>
      </c>
      <c r="E82" s="4" t="s">
        <v>21</v>
      </c>
      <c r="F82" s="4"/>
    </row>
    <row r="83" customFormat="false" ht="15" hidden="false" customHeight="false" outlineLevel="0" collapsed="false">
      <c r="A83" s="4" t="s">
        <v>254</v>
      </c>
      <c r="B83" s="5" t="s">
        <v>255</v>
      </c>
      <c r="C83" s="4" t="s">
        <v>256</v>
      </c>
      <c r="D83" s="4" t="s">
        <v>16</v>
      </c>
      <c r="E83" s="4" t="s">
        <v>17</v>
      </c>
      <c r="F83" s="4"/>
    </row>
    <row r="84" customFormat="false" ht="15" hidden="false" customHeight="false" outlineLevel="0" collapsed="false">
      <c r="A84" s="4" t="s">
        <v>257</v>
      </c>
      <c r="B84" s="4" t="s">
        <v>258</v>
      </c>
      <c r="C84" s="4" t="s">
        <v>259</v>
      </c>
      <c r="D84" s="4" t="s">
        <v>25</v>
      </c>
      <c r="E84" s="4" t="s">
        <v>21</v>
      </c>
      <c r="F84" s="4"/>
    </row>
    <row r="85" customFormat="false" ht="15" hidden="false" customHeight="false" outlineLevel="0" collapsed="false">
      <c r="A85" s="4" t="s">
        <v>260</v>
      </c>
      <c r="B85" s="4" t="s">
        <v>261</v>
      </c>
      <c r="C85" s="4" t="s">
        <v>262</v>
      </c>
      <c r="D85" s="4" t="s">
        <v>25</v>
      </c>
      <c r="E85" s="4" t="s">
        <v>21</v>
      </c>
      <c r="F85" s="4"/>
    </row>
    <row r="86" customFormat="false" ht="15" hidden="false" customHeight="false" outlineLevel="0" collapsed="false">
      <c r="A86" s="4" t="s">
        <v>263</v>
      </c>
      <c r="B86" s="4" t="s">
        <v>264</v>
      </c>
      <c r="C86" s="4" t="s">
        <v>265</v>
      </c>
      <c r="D86" s="4" t="s">
        <v>25</v>
      </c>
      <c r="E86" s="4" t="s">
        <v>21</v>
      </c>
      <c r="F86" s="4"/>
    </row>
    <row r="87" customFormat="false" ht="15" hidden="false" customHeight="false" outlineLevel="0" collapsed="false">
      <c r="A87" s="4" t="s">
        <v>266</v>
      </c>
      <c r="B87" s="4" t="s">
        <v>267</v>
      </c>
      <c r="C87" s="4" t="s">
        <v>268</v>
      </c>
      <c r="D87" s="4" t="s">
        <v>25</v>
      </c>
      <c r="E87" s="4" t="s">
        <v>21</v>
      </c>
      <c r="F87" s="4"/>
    </row>
    <row r="88" customFormat="false" ht="15" hidden="false" customHeight="false" outlineLevel="0" collapsed="false">
      <c r="A88" s="4" t="s">
        <v>269</v>
      </c>
      <c r="B88" s="5" t="s">
        <v>270</v>
      </c>
      <c r="C88" s="4" t="s">
        <v>271</v>
      </c>
      <c r="D88" s="4" t="s">
        <v>16</v>
      </c>
      <c r="E88" s="4" t="s">
        <v>17</v>
      </c>
      <c r="F88" s="4"/>
    </row>
    <row r="89" customFormat="false" ht="15" hidden="false" customHeight="false" outlineLevel="0" collapsed="false">
      <c r="A89" s="4" t="s">
        <v>272</v>
      </c>
      <c r="B89" s="4" t="s">
        <v>273</v>
      </c>
      <c r="C89" s="4" t="s">
        <v>274</v>
      </c>
      <c r="D89" s="4" t="s">
        <v>25</v>
      </c>
      <c r="E89" s="4" t="s">
        <v>21</v>
      </c>
      <c r="F89" s="4"/>
    </row>
    <row r="90" customFormat="false" ht="15" hidden="false" customHeight="false" outlineLevel="0" collapsed="false">
      <c r="A90" s="4" t="s">
        <v>275</v>
      </c>
      <c r="B90" s="4" t="s">
        <v>276</v>
      </c>
      <c r="C90" s="4" t="s">
        <v>277</v>
      </c>
      <c r="D90" s="4" t="s">
        <v>25</v>
      </c>
      <c r="E90" s="4" t="s">
        <v>21</v>
      </c>
      <c r="F90" s="4"/>
    </row>
    <row r="91" customFormat="false" ht="15" hidden="false" customHeight="false" outlineLevel="0" collapsed="false">
      <c r="A91" s="4" t="s">
        <v>278</v>
      </c>
      <c r="B91" s="4" t="s">
        <v>279</v>
      </c>
      <c r="C91" s="4" t="s">
        <v>280</v>
      </c>
      <c r="D91" s="4" t="s">
        <v>25</v>
      </c>
      <c r="E91" s="4" t="s">
        <v>21</v>
      </c>
      <c r="F91" s="4"/>
    </row>
    <row r="92" customFormat="false" ht="15" hidden="false" customHeight="false" outlineLevel="0" collapsed="false">
      <c r="A92" s="4" t="s">
        <v>281</v>
      </c>
      <c r="B92" s="4" t="s">
        <v>282</v>
      </c>
      <c r="C92" s="4" t="s">
        <v>283</v>
      </c>
      <c r="D92" s="4" t="s">
        <v>25</v>
      </c>
      <c r="E92" s="4" t="s">
        <v>21</v>
      </c>
      <c r="F92" s="4"/>
    </row>
    <row r="93" customFormat="false" ht="15" hidden="false" customHeight="false" outlineLevel="0" collapsed="false">
      <c r="A93" s="4" t="s">
        <v>284</v>
      </c>
      <c r="B93" s="4" t="s">
        <v>285</v>
      </c>
      <c r="C93" s="4" t="s">
        <v>286</v>
      </c>
      <c r="D93" s="4" t="s">
        <v>25</v>
      </c>
      <c r="E93" s="4" t="s">
        <v>21</v>
      </c>
      <c r="F93" s="4"/>
    </row>
    <row r="94" customFormat="false" ht="15" hidden="false" customHeight="false" outlineLevel="0" collapsed="false">
      <c r="A94" s="4" t="s">
        <v>287</v>
      </c>
      <c r="B94" s="4" t="s">
        <v>288</v>
      </c>
      <c r="C94" s="4" t="s">
        <v>289</v>
      </c>
      <c r="D94" s="4" t="s">
        <v>25</v>
      </c>
      <c r="E94" s="4" t="s">
        <v>21</v>
      </c>
      <c r="F94" s="4"/>
    </row>
    <row r="96" customFormat="false" ht="15" hidden="false" customHeight="false" outlineLevel="0" collapsed="false">
      <c r="A96" s="2"/>
      <c r="B96" s="2" t="s">
        <v>290</v>
      </c>
      <c r="C96" s="2" t="s">
        <v>291</v>
      </c>
      <c r="D96" s="2"/>
      <c r="E96" s="2"/>
      <c r="F96" s="2"/>
    </row>
    <row r="97" customFormat="false" ht="15" hidden="false" customHeight="false" outlineLevel="0" collapsed="false">
      <c r="A97" s="3" t="s">
        <v>292</v>
      </c>
      <c r="B97" s="3" t="s">
        <v>293</v>
      </c>
      <c r="C97" s="3" t="s">
        <v>294</v>
      </c>
      <c r="D97" s="3" t="s">
        <v>11</v>
      </c>
      <c r="E97" s="3" t="s">
        <v>12</v>
      </c>
      <c r="F97" s="3"/>
    </row>
    <row r="98" customFormat="false" ht="15" hidden="false" customHeight="false" outlineLevel="0" collapsed="false">
      <c r="A98" s="4" t="s">
        <v>295</v>
      </c>
      <c r="B98" s="5" t="s">
        <v>296</v>
      </c>
      <c r="C98" s="4" t="s">
        <v>297</v>
      </c>
      <c r="D98" s="4" t="s">
        <v>16</v>
      </c>
      <c r="E98" s="4" t="s">
        <v>17</v>
      </c>
      <c r="F98" s="4"/>
    </row>
    <row r="99" customFormat="false" ht="15" hidden="false" customHeight="false" outlineLevel="0" collapsed="false">
      <c r="A99" s="4" t="s">
        <v>298</v>
      </c>
      <c r="B99" s="4" t="s">
        <v>299</v>
      </c>
      <c r="C99" s="4" t="s">
        <v>300</v>
      </c>
      <c r="D99" s="4" t="s">
        <v>25</v>
      </c>
      <c r="E99" s="4" t="s">
        <v>21</v>
      </c>
      <c r="F99" s="4"/>
    </row>
    <row r="100" customFormat="false" ht="15" hidden="false" customHeight="false" outlineLevel="0" collapsed="false">
      <c r="A100" s="4" t="s">
        <v>301</v>
      </c>
      <c r="B100" s="4" t="s">
        <v>302</v>
      </c>
      <c r="C100" s="4" t="s">
        <v>303</v>
      </c>
      <c r="D100" s="4" t="s">
        <v>25</v>
      </c>
      <c r="E100" s="4" t="s">
        <v>21</v>
      </c>
      <c r="F100" s="4"/>
    </row>
    <row r="101" customFormat="false" ht="15" hidden="false" customHeight="false" outlineLevel="0" collapsed="false">
      <c r="A101" s="4" t="s">
        <v>304</v>
      </c>
      <c r="B101" s="4" t="s">
        <v>305</v>
      </c>
      <c r="C101" s="4" t="s">
        <v>306</v>
      </c>
      <c r="D101" s="4" t="s">
        <v>25</v>
      </c>
      <c r="E101" s="4" t="s">
        <v>21</v>
      </c>
      <c r="F101" s="4"/>
    </row>
    <row r="102" customFormat="false" ht="15" hidden="false" customHeight="false" outlineLevel="0" collapsed="false">
      <c r="A102" s="4" t="s">
        <v>307</v>
      </c>
      <c r="B102" s="4" t="s">
        <v>308</v>
      </c>
      <c r="C102" s="4" t="s">
        <v>309</v>
      </c>
      <c r="D102" s="4" t="s">
        <v>25</v>
      </c>
      <c r="E102" s="4" t="s">
        <v>21</v>
      </c>
      <c r="F102" s="4"/>
    </row>
    <row r="103" customFormat="false" ht="15" hidden="false" customHeight="false" outlineLevel="0" collapsed="false">
      <c r="A103" s="4" t="s">
        <v>310</v>
      </c>
      <c r="B103" s="5" t="s">
        <v>311</v>
      </c>
      <c r="C103" s="4" t="s">
        <v>312</v>
      </c>
      <c r="D103" s="4" t="s">
        <v>16</v>
      </c>
      <c r="E103" s="4" t="s">
        <v>17</v>
      </c>
      <c r="F103" s="4"/>
    </row>
    <row r="104" customFormat="false" ht="15" hidden="false" customHeight="false" outlineLevel="0" collapsed="false">
      <c r="A104" s="4" t="s">
        <v>313</v>
      </c>
      <c r="B104" s="4" t="s">
        <v>314</v>
      </c>
      <c r="C104" s="4" t="s">
        <v>315</v>
      </c>
      <c r="D104" s="4" t="s">
        <v>25</v>
      </c>
      <c r="E104" s="4" t="s">
        <v>21</v>
      </c>
      <c r="F104" s="4"/>
    </row>
    <row r="105" customFormat="false" ht="15" hidden="false" customHeight="false" outlineLevel="0" collapsed="false">
      <c r="A105" s="4" t="s">
        <v>316</v>
      </c>
      <c r="B105" s="4" t="s">
        <v>317</v>
      </c>
      <c r="C105" s="4" t="s">
        <v>318</v>
      </c>
      <c r="D105" s="4" t="s">
        <v>25</v>
      </c>
      <c r="E105" s="4" t="s">
        <v>21</v>
      </c>
      <c r="F105" s="4"/>
    </row>
    <row r="106" customFormat="false" ht="15" hidden="false" customHeight="false" outlineLevel="0" collapsed="false">
      <c r="A106" s="4" t="s">
        <v>319</v>
      </c>
      <c r="B106" s="4" t="s">
        <v>320</v>
      </c>
      <c r="C106" s="4" t="s">
        <v>321</v>
      </c>
      <c r="D106" s="4" t="s">
        <v>25</v>
      </c>
      <c r="E106" s="4" t="s">
        <v>21</v>
      </c>
      <c r="F106" s="4"/>
    </row>
    <row r="107" customFormat="false" ht="15" hidden="false" customHeight="false" outlineLevel="0" collapsed="false">
      <c r="A107" s="4" t="s">
        <v>322</v>
      </c>
      <c r="B107" s="4" t="s">
        <v>323</v>
      </c>
      <c r="C107" s="4" t="s">
        <v>324</v>
      </c>
      <c r="D107" s="4" t="s">
        <v>25</v>
      </c>
      <c r="E107" s="4" t="s">
        <v>21</v>
      </c>
      <c r="F107" s="4"/>
    </row>
    <row r="108" customFormat="false" ht="15" hidden="false" customHeight="false" outlineLevel="0" collapsed="false">
      <c r="A108" s="4" t="s">
        <v>325</v>
      </c>
      <c r="B108" s="4" t="s">
        <v>326</v>
      </c>
      <c r="C108" s="4" t="s">
        <v>327</v>
      </c>
      <c r="D108" s="4" t="s">
        <v>25</v>
      </c>
      <c r="E108" s="4" t="s">
        <v>21</v>
      </c>
      <c r="F108" s="4"/>
    </row>
    <row r="109" customFormat="false" ht="15" hidden="false" customHeight="false" outlineLevel="0" collapsed="false">
      <c r="A109" s="4" t="s">
        <v>328</v>
      </c>
      <c r="B109" s="4" t="s">
        <v>329</v>
      </c>
      <c r="C109" s="4" t="s">
        <v>330</v>
      </c>
      <c r="D109" s="4" t="s">
        <v>25</v>
      </c>
      <c r="E109" s="4" t="s">
        <v>21</v>
      </c>
      <c r="F10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32"/>
    <col collapsed="false" customWidth="true" hidden="false" outlineLevel="0" max="5" min="5" style="0" width="16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</row>
    <row r="2" customFormat="false" ht="15" hidden="false" customHeight="false" outlineLevel="0" collapsed="false">
      <c r="A2" s="7" t="s">
        <v>337</v>
      </c>
      <c r="B2" s="7" t="s">
        <v>338</v>
      </c>
      <c r="C2" s="7"/>
      <c r="D2" s="7"/>
      <c r="E2" s="7"/>
      <c r="F2" s="7"/>
    </row>
    <row r="3" customFormat="false" ht="15" hidden="false" customHeight="false" outlineLevel="0" collapsed="false">
      <c r="A3" s="4" t="s">
        <v>339</v>
      </c>
      <c r="B3" s="4" t="s">
        <v>340</v>
      </c>
      <c r="C3" s="4" t="s">
        <v>341</v>
      </c>
      <c r="D3" s="4" t="s">
        <v>342</v>
      </c>
      <c r="E3" s="4" t="s">
        <v>343</v>
      </c>
      <c r="F3" s="4" t="s">
        <v>344</v>
      </c>
    </row>
    <row r="4" customFormat="false" ht="15" hidden="false" customHeight="false" outlineLevel="0" collapsed="false">
      <c r="A4" s="4" t="s">
        <v>339</v>
      </c>
      <c r="B4" s="4" t="s">
        <v>171</v>
      </c>
      <c r="C4" s="4" t="s">
        <v>345</v>
      </c>
      <c r="D4" s="4" t="s">
        <v>342</v>
      </c>
      <c r="E4" s="4" t="s">
        <v>346</v>
      </c>
      <c r="F4" s="4" t="s">
        <v>347</v>
      </c>
    </row>
    <row r="5" customFormat="false" ht="15" hidden="false" customHeight="false" outlineLevel="0" collapsed="false">
      <c r="A5" s="4" t="s">
        <v>348</v>
      </c>
      <c r="B5" s="4" t="s">
        <v>349</v>
      </c>
      <c r="C5" s="4" t="s">
        <v>342</v>
      </c>
      <c r="D5" s="4" t="s">
        <v>350</v>
      </c>
      <c r="E5" s="4" t="s">
        <v>351</v>
      </c>
      <c r="F5" s="4" t="s">
        <v>352</v>
      </c>
    </row>
    <row r="6" customFormat="false" ht="15" hidden="false" customHeight="false" outlineLevel="0" collapsed="false">
      <c r="A6" s="4" t="s">
        <v>353</v>
      </c>
      <c r="B6" s="4" t="s">
        <v>354</v>
      </c>
      <c r="C6" s="4" t="s">
        <v>355</v>
      </c>
      <c r="D6" s="4" t="s">
        <v>356</v>
      </c>
      <c r="E6" s="4" t="s">
        <v>357</v>
      </c>
      <c r="F6" s="4"/>
    </row>
    <row r="8" customFormat="false" ht="15" hidden="false" customHeight="false" outlineLevel="0" collapsed="false">
      <c r="A8" s="7" t="s">
        <v>358</v>
      </c>
      <c r="B8" s="7" t="s">
        <v>359</v>
      </c>
      <c r="C8" s="7"/>
      <c r="D8" s="7"/>
      <c r="E8" s="7"/>
      <c r="F8" s="7"/>
    </row>
    <row r="9" customFormat="false" ht="15" hidden="false" customHeight="false" outlineLevel="0" collapsed="false">
      <c r="A9" s="4" t="s">
        <v>360</v>
      </c>
      <c r="B9" s="4" t="s">
        <v>361</v>
      </c>
      <c r="C9" s="4" t="s">
        <v>362</v>
      </c>
      <c r="D9" s="4" t="s">
        <v>341</v>
      </c>
      <c r="E9" s="4" t="s">
        <v>343</v>
      </c>
      <c r="F9" s="4" t="s">
        <v>363</v>
      </c>
    </row>
    <row r="10" customFormat="false" ht="15" hidden="false" customHeight="false" outlineLevel="0" collapsed="false">
      <c r="A10" s="4" t="s">
        <v>364</v>
      </c>
      <c r="B10" s="4" t="s">
        <v>365</v>
      </c>
      <c r="C10" s="4" t="s">
        <v>366</v>
      </c>
      <c r="D10" s="4" t="s">
        <v>362</v>
      </c>
      <c r="E10" s="4" t="s">
        <v>343</v>
      </c>
      <c r="F10" s="4" t="s">
        <v>367</v>
      </c>
    </row>
    <row r="11" customFormat="false" ht="15" hidden="false" customHeight="false" outlineLevel="0" collapsed="false">
      <c r="A11" s="4" t="s">
        <v>368</v>
      </c>
      <c r="B11" s="4" t="s">
        <v>369</v>
      </c>
      <c r="C11" s="4" t="s">
        <v>366</v>
      </c>
      <c r="D11" s="4" t="s">
        <v>370</v>
      </c>
      <c r="E11" s="4" t="s">
        <v>371</v>
      </c>
      <c r="F11" s="4" t="s">
        <v>372</v>
      </c>
    </row>
    <row r="12" customFormat="false" ht="15" hidden="false" customHeight="false" outlineLevel="0" collapsed="false">
      <c r="A12" s="4" t="s">
        <v>368</v>
      </c>
      <c r="B12" s="4" t="s">
        <v>174</v>
      </c>
      <c r="C12" s="4" t="s">
        <v>370</v>
      </c>
      <c r="D12" s="4" t="s">
        <v>373</v>
      </c>
      <c r="E12" s="4" t="s">
        <v>374</v>
      </c>
      <c r="F12" s="4" t="s">
        <v>375</v>
      </c>
    </row>
    <row r="13" customFormat="false" ht="15" hidden="false" customHeight="false" outlineLevel="0" collapsed="false">
      <c r="A13" s="4" t="s">
        <v>376</v>
      </c>
      <c r="B13" s="4" t="s">
        <v>377</v>
      </c>
      <c r="C13" s="4" t="s">
        <v>370</v>
      </c>
      <c r="D13" s="4" t="s">
        <v>378</v>
      </c>
      <c r="E13" s="4" t="s">
        <v>379</v>
      </c>
      <c r="F13" s="4" t="s">
        <v>380</v>
      </c>
    </row>
    <row r="14" customFormat="false" ht="15" hidden="false" customHeight="false" outlineLevel="0" collapsed="false">
      <c r="A14" s="8"/>
      <c r="B14" s="8" t="s">
        <v>381</v>
      </c>
      <c r="C14" s="8"/>
      <c r="D14" s="8"/>
      <c r="E14" s="8"/>
      <c r="F14" s="8" t="s">
        <v>382</v>
      </c>
    </row>
    <row r="16" customFormat="false" ht="15" hidden="false" customHeight="false" outlineLevel="0" collapsed="false">
      <c r="A16" s="7" t="s">
        <v>383</v>
      </c>
      <c r="B16" s="7" t="s">
        <v>384</v>
      </c>
      <c r="C16" s="7"/>
      <c r="D16" s="7"/>
      <c r="E16" s="7"/>
      <c r="F16" s="7"/>
    </row>
    <row r="17" customFormat="false" ht="15" hidden="false" customHeight="false" outlineLevel="0" collapsed="false">
      <c r="A17" s="4" t="s">
        <v>385</v>
      </c>
      <c r="B17" s="4" t="s">
        <v>386</v>
      </c>
      <c r="C17" s="4" t="s">
        <v>387</v>
      </c>
      <c r="D17" s="4" t="s">
        <v>366</v>
      </c>
      <c r="E17" s="4" t="s">
        <v>388</v>
      </c>
      <c r="F17" s="4" t="s">
        <v>363</v>
      </c>
    </row>
    <row r="18" customFormat="false" ht="15" hidden="false" customHeight="false" outlineLevel="0" collapsed="false">
      <c r="A18" s="4" t="s">
        <v>389</v>
      </c>
      <c r="B18" s="4" t="s">
        <v>390</v>
      </c>
      <c r="C18" s="4" t="s">
        <v>391</v>
      </c>
      <c r="D18" s="4" t="s">
        <v>387</v>
      </c>
      <c r="E18" s="4" t="s">
        <v>388</v>
      </c>
      <c r="F18" s="4" t="s">
        <v>392</v>
      </c>
    </row>
    <row r="19" customFormat="false" ht="15" hidden="false" customHeight="false" outlineLevel="0" collapsed="false">
      <c r="A19" s="4" t="s">
        <v>393</v>
      </c>
      <c r="B19" s="4" t="s">
        <v>394</v>
      </c>
      <c r="C19" s="4" t="s">
        <v>391</v>
      </c>
      <c r="D19" s="4" t="s">
        <v>395</v>
      </c>
      <c r="E19" s="4" t="s">
        <v>396</v>
      </c>
      <c r="F19" s="4" t="s">
        <v>397</v>
      </c>
    </row>
    <row r="20" customFormat="false" ht="15" hidden="false" customHeight="false" outlineLevel="0" collapsed="false">
      <c r="A20" s="4" t="s">
        <v>393</v>
      </c>
      <c r="B20" s="4" t="s">
        <v>174</v>
      </c>
      <c r="C20" s="4" t="s">
        <v>395</v>
      </c>
      <c r="D20" s="4" t="s">
        <v>373</v>
      </c>
      <c r="E20" s="4" t="s">
        <v>398</v>
      </c>
      <c r="F20" s="4" t="s">
        <v>399</v>
      </c>
    </row>
    <row r="21" customFormat="false" ht="15" hidden="false" customHeight="false" outlineLevel="0" collapsed="false">
      <c r="A21" s="4" t="s">
        <v>400</v>
      </c>
      <c r="B21" s="4" t="s">
        <v>401</v>
      </c>
      <c r="C21" s="4" t="s">
        <v>395</v>
      </c>
      <c r="D21" s="4" t="s">
        <v>378</v>
      </c>
      <c r="E21" s="4" t="s">
        <v>402</v>
      </c>
      <c r="F21" s="4"/>
    </row>
    <row r="22" customFormat="false" ht="15" hidden="false" customHeight="false" outlineLevel="0" collapsed="false">
      <c r="A22" s="8"/>
      <c r="B22" s="8" t="s">
        <v>403</v>
      </c>
      <c r="C22" s="8"/>
      <c r="D22" s="8"/>
      <c r="E22" s="8"/>
      <c r="F22" s="8" t="s">
        <v>404</v>
      </c>
    </row>
    <row r="24" customFormat="false" ht="15" hidden="false" customHeight="false" outlineLevel="0" collapsed="false">
      <c r="A24" s="7" t="s">
        <v>405</v>
      </c>
      <c r="B24" s="7" t="s">
        <v>406</v>
      </c>
      <c r="C24" s="7"/>
      <c r="D24" s="7"/>
      <c r="E24" s="7"/>
      <c r="F24" s="7"/>
    </row>
    <row r="25" customFormat="false" ht="15" hidden="false" customHeight="false" outlineLevel="0" collapsed="false">
      <c r="A25" s="4" t="s">
        <v>407</v>
      </c>
      <c r="B25" s="4" t="s">
        <v>408</v>
      </c>
      <c r="C25" s="4" t="s">
        <v>409</v>
      </c>
      <c r="D25" s="4" t="s">
        <v>391</v>
      </c>
      <c r="E25" s="4" t="s">
        <v>410</v>
      </c>
      <c r="F25" s="4" t="s">
        <v>411</v>
      </c>
    </row>
    <row r="26" customFormat="false" ht="15" hidden="false" customHeight="false" outlineLevel="0" collapsed="false">
      <c r="A26" s="4" t="s">
        <v>412</v>
      </c>
      <c r="B26" s="4" t="s">
        <v>413</v>
      </c>
      <c r="C26" s="4" t="s">
        <v>409</v>
      </c>
      <c r="D26" s="4" t="s">
        <v>355</v>
      </c>
      <c r="E26" s="4" t="s">
        <v>414</v>
      </c>
      <c r="F26" s="4" t="s">
        <v>415</v>
      </c>
    </row>
    <row r="27" customFormat="false" ht="15" hidden="false" customHeight="false" outlineLevel="0" collapsed="false">
      <c r="A27" s="4" t="s">
        <v>416</v>
      </c>
      <c r="B27" s="4" t="s">
        <v>417</v>
      </c>
      <c r="C27" s="4" t="s">
        <v>409</v>
      </c>
      <c r="D27" s="4" t="s">
        <v>418</v>
      </c>
      <c r="E27" s="4" t="s">
        <v>419</v>
      </c>
      <c r="F27" s="4" t="s">
        <v>420</v>
      </c>
    </row>
    <row r="28" customFormat="false" ht="15" hidden="false" customHeight="false" outlineLevel="0" collapsed="false">
      <c r="A28" s="4" t="s">
        <v>421</v>
      </c>
      <c r="B28" s="4" t="s">
        <v>422</v>
      </c>
      <c r="C28" s="4" t="s">
        <v>409</v>
      </c>
      <c r="D28" s="4" t="s">
        <v>423</v>
      </c>
      <c r="E28" s="4" t="s">
        <v>424</v>
      </c>
      <c r="F28" s="4" t="s">
        <v>425</v>
      </c>
    </row>
    <row r="29" customFormat="false" ht="15" hidden="false" customHeight="false" outlineLevel="0" collapsed="false">
      <c r="A29" s="4" t="s">
        <v>426</v>
      </c>
      <c r="B29" s="4" t="s">
        <v>427</v>
      </c>
      <c r="C29" s="4" t="s">
        <v>428</v>
      </c>
      <c r="D29" s="4" t="s">
        <v>409</v>
      </c>
      <c r="E29" s="4" t="s">
        <v>429</v>
      </c>
      <c r="F29" s="4" t="s">
        <v>430</v>
      </c>
    </row>
    <row r="30" customFormat="false" ht="15" hidden="false" customHeight="false" outlineLevel="0" collapsed="false">
      <c r="A30" s="4" t="s">
        <v>431</v>
      </c>
      <c r="B30" s="4" t="s">
        <v>432</v>
      </c>
      <c r="C30" s="4" t="s">
        <v>433</v>
      </c>
      <c r="D30" s="4" t="s">
        <v>409</v>
      </c>
      <c r="E30" s="4" t="s">
        <v>434</v>
      </c>
      <c r="F30" s="4" t="s">
        <v>435</v>
      </c>
    </row>
    <row r="31" customFormat="false" ht="15" hidden="false" customHeight="false" outlineLevel="0" collapsed="false">
      <c r="A31" s="8"/>
      <c r="B31" s="8" t="s">
        <v>436</v>
      </c>
      <c r="C31" s="8"/>
      <c r="D31" s="8"/>
      <c r="E31" s="8"/>
      <c r="F31" s="8" t="s">
        <v>437</v>
      </c>
    </row>
    <row r="32" customFormat="false" ht="15" hidden="false" customHeight="false" outlineLevel="0" collapsed="false">
      <c r="A32" s="8"/>
      <c r="B32" s="8" t="s">
        <v>438</v>
      </c>
      <c r="C32" s="8"/>
      <c r="D32" s="8"/>
      <c r="E32" s="8"/>
      <c r="F32" s="8"/>
    </row>
    <row r="34" customFormat="false" ht="15" hidden="false" customHeight="false" outlineLevel="0" collapsed="false">
      <c r="A34" s="7" t="s">
        <v>439</v>
      </c>
      <c r="B34" s="7" t="s">
        <v>440</v>
      </c>
      <c r="C34" s="7"/>
      <c r="D34" s="7"/>
      <c r="E34" s="7"/>
      <c r="F34" s="7"/>
    </row>
    <row r="35" customFormat="false" ht="15" hidden="false" customHeight="false" outlineLevel="0" collapsed="false">
      <c r="A35" s="4" t="s">
        <v>441</v>
      </c>
      <c r="B35" s="4" t="s">
        <v>442</v>
      </c>
      <c r="C35" s="4" t="s">
        <v>443</v>
      </c>
      <c r="D35" s="4" t="s">
        <v>444</v>
      </c>
      <c r="E35" s="4" t="s">
        <v>445</v>
      </c>
      <c r="F35" s="4" t="s">
        <v>446</v>
      </c>
    </row>
    <row r="36" customFormat="false" ht="15" hidden="false" customHeight="false" outlineLevel="0" collapsed="false">
      <c r="A36" s="4" t="s">
        <v>441</v>
      </c>
      <c r="B36" s="4" t="s">
        <v>171</v>
      </c>
      <c r="C36" s="4" t="s">
        <v>443</v>
      </c>
      <c r="D36" s="4" t="s">
        <v>447</v>
      </c>
      <c r="E36" s="4" t="s">
        <v>448</v>
      </c>
      <c r="F36" s="4" t="s">
        <v>347</v>
      </c>
    </row>
    <row r="37" customFormat="false" ht="15" hidden="false" customHeight="false" outlineLevel="0" collapsed="false">
      <c r="A37" s="4" t="s">
        <v>449</v>
      </c>
      <c r="B37" s="4" t="s">
        <v>450</v>
      </c>
      <c r="C37" s="4" t="s">
        <v>451</v>
      </c>
      <c r="D37" s="4" t="s">
        <v>452</v>
      </c>
      <c r="E37" s="4" t="s">
        <v>453</v>
      </c>
      <c r="F37" s="4" t="s">
        <v>454</v>
      </c>
    </row>
    <row r="38" customFormat="false" ht="15" hidden="false" customHeight="false" outlineLevel="0" collapsed="false">
      <c r="A38" s="4" t="s">
        <v>455</v>
      </c>
      <c r="B38" s="4" t="s">
        <v>456</v>
      </c>
      <c r="C38" s="4" t="s">
        <v>350</v>
      </c>
      <c r="D38" s="4" t="s">
        <v>457</v>
      </c>
      <c r="E38" s="4" t="s">
        <v>458</v>
      </c>
      <c r="F38" s="4"/>
    </row>
    <row r="39" customFormat="false" ht="15" hidden="false" customHeight="false" outlineLevel="0" collapsed="false">
      <c r="A39" s="4" t="s">
        <v>459</v>
      </c>
      <c r="B39" s="4" t="s">
        <v>460</v>
      </c>
      <c r="C39" s="4" t="s">
        <v>461</v>
      </c>
      <c r="D39" s="4" t="s">
        <v>462</v>
      </c>
      <c r="E39" s="4" t="s">
        <v>343</v>
      </c>
      <c r="F39" s="4" t="s">
        <v>463</v>
      </c>
    </row>
    <row r="40" customFormat="false" ht="15" hidden="false" customHeight="false" outlineLevel="0" collapsed="false">
      <c r="A40" s="4" t="s">
        <v>464</v>
      </c>
      <c r="B40" s="4" t="s">
        <v>214</v>
      </c>
      <c r="C40" s="4" t="s">
        <v>465</v>
      </c>
      <c r="D40" s="4" t="s">
        <v>443</v>
      </c>
      <c r="E40" s="4" t="s">
        <v>429</v>
      </c>
      <c r="F40" s="4" t="s">
        <v>466</v>
      </c>
    </row>
    <row r="41" customFormat="false" ht="15" hidden="false" customHeight="false" outlineLevel="0" collapsed="false">
      <c r="A41" s="4" t="s">
        <v>467</v>
      </c>
      <c r="B41" s="4" t="s">
        <v>468</v>
      </c>
      <c r="C41" s="4" t="s">
        <v>378</v>
      </c>
      <c r="D41" s="4" t="s">
        <v>443</v>
      </c>
      <c r="E41" s="4" t="s">
        <v>469</v>
      </c>
      <c r="F41" s="4" t="s">
        <v>470</v>
      </c>
    </row>
    <row r="42" customFormat="false" ht="15" hidden="false" customHeight="false" outlineLevel="0" collapsed="false">
      <c r="A42" s="4" t="s">
        <v>471</v>
      </c>
      <c r="B42" s="4" t="s">
        <v>472</v>
      </c>
      <c r="C42" s="4" t="s">
        <v>350</v>
      </c>
      <c r="D42" s="4" t="s">
        <v>473</v>
      </c>
      <c r="E42" s="4" t="s">
        <v>474</v>
      </c>
      <c r="F42" s="4" t="s">
        <v>475</v>
      </c>
    </row>
    <row r="44" customFormat="false" ht="15" hidden="false" customHeight="false" outlineLevel="0" collapsed="false">
      <c r="A44" s="7" t="s">
        <v>476</v>
      </c>
      <c r="B44" s="7" t="s">
        <v>477</v>
      </c>
      <c r="C44" s="7"/>
      <c r="D44" s="7"/>
      <c r="E44" s="7"/>
      <c r="F44" s="7"/>
    </row>
    <row r="45" customFormat="false" ht="15" hidden="false" customHeight="false" outlineLevel="0" collapsed="false">
      <c r="A45" s="4" t="s">
        <v>478</v>
      </c>
      <c r="B45" s="4" t="s">
        <v>479</v>
      </c>
      <c r="C45" s="4" t="s">
        <v>480</v>
      </c>
      <c r="D45" s="4" t="s">
        <v>481</v>
      </c>
      <c r="E45" s="4" t="s">
        <v>482</v>
      </c>
      <c r="F45" s="4"/>
    </row>
    <row r="46" customFormat="false" ht="15" hidden="false" customHeight="false" outlineLevel="0" collapsed="false">
      <c r="A46" s="4" t="s">
        <v>483</v>
      </c>
      <c r="B46" s="4" t="s">
        <v>484</v>
      </c>
      <c r="C46" s="4" t="s">
        <v>485</v>
      </c>
      <c r="D46" s="4" t="s">
        <v>486</v>
      </c>
      <c r="E46" s="4" t="s">
        <v>429</v>
      </c>
      <c r="F46" s="4"/>
    </row>
    <row r="47" customFormat="false" ht="15" hidden="false" customHeight="false" outlineLevel="0" collapsed="false">
      <c r="A47" s="4" t="s">
        <v>487</v>
      </c>
      <c r="B47" s="4" t="s">
        <v>273</v>
      </c>
      <c r="C47" s="4" t="s">
        <v>488</v>
      </c>
      <c r="D47" s="4" t="s">
        <v>378</v>
      </c>
      <c r="E47" s="4" t="s">
        <v>489</v>
      </c>
      <c r="F47" s="4"/>
    </row>
    <row r="48" customFormat="false" ht="15" hidden="false" customHeight="false" outlineLevel="0" collapsed="false">
      <c r="A48" s="4" t="s">
        <v>490</v>
      </c>
      <c r="B48" s="4" t="s">
        <v>276</v>
      </c>
      <c r="C48" s="4" t="s">
        <v>491</v>
      </c>
      <c r="D48" s="4" t="s">
        <v>378</v>
      </c>
      <c r="E48" s="4" t="s">
        <v>357</v>
      </c>
      <c r="F4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7.35" hidden="false" customHeight="true" outlineLevel="0" collapsed="false">
      <c r="A1" s="9" t="s">
        <v>492</v>
      </c>
      <c r="B1" s="9"/>
      <c r="C1" s="9"/>
      <c r="D1" s="9"/>
    </row>
    <row r="2" customFormat="false" ht="15" hidden="false" customHeight="false" outlineLevel="0" collapsed="false">
      <c r="A2" s="10" t="s">
        <v>493</v>
      </c>
      <c r="B2" s="10" t="s">
        <v>494</v>
      </c>
      <c r="C2" s="10" t="s">
        <v>495</v>
      </c>
      <c r="D2" s="10" t="s">
        <v>496</v>
      </c>
    </row>
    <row r="3" customFormat="false" ht="15" hidden="false" customHeight="false" outlineLevel="0" collapsed="false">
      <c r="A3" s="4" t="s">
        <v>497</v>
      </c>
      <c r="B3" s="4"/>
      <c r="C3" s="4"/>
      <c r="D3" s="4"/>
    </row>
    <row r="4" customFormat="false" ht="15" hidden="false" customHeight="false" outlineLevel="0" collapsed="false">
      <c r="A4" s="4" t="s">
        <v>498</v>
      </c>
      <c r="B4" s="4" t="s">
        <v>499</v>
      </c>
      <c r="C4" s="4" t="n">
        <v>50</v>
      </c>
      <c r="D4" s="11" t="n">
        <f aca="false">IF(C26&gt;0,C4/C26,0)</f>
        <v>0.469494589074861</v>
      </c>
    </row>
    <row r="5" customFormat="false" ht="15" hidden="false" customHeight="false" outlineLevel="0" collapsed="false">
      <c r="A5" s="4" t="s">
        <v>500</v>
      </c>
      <c r="B5" s="4" t="s">
        <v>501</v>
      </c>
      <c r="C5" s="4" t="n">
        <v>15</v>
      </c>
      <c r="D5" s="11" t="n">
        <f aca="false">IF(C26&gt;0,C5/C26,0)</f>
        <v>0.140848376722458</v>
      </c>
    </row>
    <row r="6" customFormat="false" ht="15" hidden="false" customHeight="false" outlineLevel="0" collapsed="false">
      <c r="A6" s="4" t="s">
        <v>502</v>
      </c>
      <c r="B6" s="4" t="s">
        <v>503</v>
      </c>
      <c r="C6" s="4" t="n">
        <v>12.5</v>
      </c>
      <c r="D6" s="11" t="n">
        <f aca="false">IF(C26&gt;0,C6/C26,0)</f>
        <v>0.117373647268715</v>
      </c>
    </row>
    <row r="7" customFormat="false" ht="15" hidden="false" customHeight="false" outlineLevel="0" collapsed="false">
      <c r="A7" s="4" t="s">
        <v>504</v>
      </c>
      <c r="B7" s="4" t="s">
        <v>505</v>
      </c>
      <c r="C7" s="4" t="n">
        <v>5</v>
      </c>
      <c r="D7" s="11" t="n">
        <f aca="false">IF(C26&gt;0,C7/C26,0)</f>
        <v>0.0469494589074861</v>
      </c>
    </row>
    <row r="8" customFormat="false" ht="15" hidden="false" customHeight="false" outlineLevel="0" collapsed="false">
      <c r="A8" s="12" t="s">
        <v>506</v>
      </c>
      <c r="B8" s="12"/>
      <c r="C8" s="12" t="n">
        <f aca="false">SUM(C4:C7)</f>
        <v>82.5</v>
      </c>
      <c r="D8" s="12"/>
    </row>
    <row r="10" customFormat="false" ht="15" hidden="false" customHeight="false" outlineLevel="0" collapsed="false">
      <c r="A10" s="4" t="s">
        <v>507</v>
      </c>
      <c r="B10" s="4"/>
      <c r="C10" s="4"/>
      <c r="D10" s="4"/>
    </row>
    <row r="11" customFormat="false" ht="15" hidden="false" customHeight="false" outlineLevel="0" collapsed="false">
      <c r="A11" s="4" t="s">
        <v>508</v>
      </c>
      <c r="B11" s="4" t="s">
        <v>509</v>
      </c>
      <c r="C11" s="4" t="n">
        <v>2.5</v>
      </c>
      <c r="D11" s="4"/>
    </row>
    <row r="12" customFormat="false" ht="15" hidden="false" customHeight="false" outlineLevel="0" collapsed="false">
      <c r="A12" s="4" t="s">
        <v>510</v>
      </c>
      <c r="B12" s="4" t="s">
        <v>511</v>
      </c>
      <c r="C12" s="4" t="n">
        <v>7.5</v>
      </c>
      <c r="D12" s="4"/>
    </row>
    <row r="13" customFormat="false" ht="15" hidden="false" customHeight="false" outlineLevel="0" collapsed="false">
      <c r="A13" s="4" t="s">
        <v>512</v>
      </c>
      <c r="B13" s="4" t="s">
        <v>513</v>
      </c>
      <c r="C13" s="4" t="n">
        <v>2</v>
      </c>
      <c r="D13" s="4"/>
    </row>
    <row r="14" customFormat="false" ht="15" hidden="false" customHeight="false" outlineLevel="0" collapsed="false">
      <c r="A14" s="4" t="s">
        <v>514</v>
      </c>
      <c r="B14" s="4" t="s">
        <v>515</v>
      </c>
      <c r="C14" s="4" t="n">
        <v>0.9</v>
      </c>
      <c r="D14" s="4"/>
    </row>
    <row r="15" customFormat="false" ht="15" hidden="false" customHeight="false" outlineLevel="0" collapsed="false">
      <c r="A15" s="12" t="s">
        <v>516</v>
      </c>
      <c r="B15" s="12"/>
      <c r="C15" s="12" t="n">
        <f aca="false">SUM(C11:C14)</f>
        <v>12.9</v>
      </c>
      <c r="D15" s="12"/>
    </row>
    <row r="17" customFormat="false" ht="15" hidden="false" customHeight="false" outlineLevel="0" collapsed="false">
      <c r="A17" s="4" t="s">
        <v>270</v>
      </c>
      <c r="B17" s="4"/>
      <c r="C17" s="4"/>
      <c r="D17" s="4"/>
    </row>
    <row r="18" customFormat="false" ht="15" hidden="false" customHeight="false" outlineLevel="0" collapsed="false">
      <c r="A18" s="4" t="s">
        <v>517</v>
      </c>
      <c r="B18" s="4" t="s">
        <v>518</v>
      </c>
      <c r="C18" s="4" t="n">
        <v>3</v>
      </c>
      <c r="D18" s="4"/>
    </row>
    <row r="19" customFormat="false" ht="15" hidden="false" customHeight="false" outlineLevel="0" collapsed="false">
      <c r="A19" s="4" t="s">
        <v>519</v>
      </c>
      <c r="B19" s="4" t="s">
        <v>518</v>
      </c>
      <c r="C19" s="4" t="n">
        <v>2</v>
      </c>
      <c r="D19" s="4"/>
    </row>
    <row r="20" customFormat="false" ht="15" hidden="false" customHeight="false" outlineLevel="0" collapsed="false">
      <c r="A20" s="4" t="s">
        <v>520</v>
      </c>
      <c r="B20" s="4" t="s">
        <v>521</v>
      </c>
      <c r="C20" s="4" t="n">
        <v>1.5</v>
      </c>
      <c r="D20" s="4"/>
    </row>
    <row r="21" customFormat="false" ht="15" hidden="false" customHeight="false" outlineLevel="0" collapsed="false">
      <c r="A21" s="4" t="s">
        <v>522</v>
      </c>
      <c r="B21" s="4" t="s">
        <v>518</v>
      </c>
      <c r="C21" s="4" t="n">
        <v>2</v>
      </c>
      <c r="D21" s="4"/>
    </row>
    <row r="22" customFormat="false" ht="15" hidden="false" customHeight="false" outlineLevel="0" collapsed="false">
      <c r="A22" s="12" t="s">
        <v>523</v>
      </c>
      <c r="B22" s="12"/>
      <c r="C22" s="12" t="n">
        <f aca="false">SUM(C18:C21)</f>
        <v>8.5</v>
      </c>
      <c r="D22" s="12"/>
    </row>
    <row r="24" customFormat="false" ht="15" hidden="false" customHeight="false" outlineLevel="0" collapsed="false">
      <c r="A24" s="4" t="s">
        <v>524</v>
      </c>
      <c r="B24" s="4"/>
      <c r="C24" s="4" t="n">
        <f aca="false">(C8+C15+C22)*0.025</f>
        <v>2.5975</v>
      </c>
      <c r="D24" s="4"/>
    </row>
    <row r="26" customFormat="false" ht="15" hidden="false" customHeight="false" outlineLevel="0" collapsed="false">
      <c r="A26" s="13" t="s">
        <v>525</v>
      </c>
      <c r="B26" s="13"/>
      <c r="C26" s="13" t="n">
        <f aca="false">C8+C15+C22+C24</f>
        <v>106.4975</v>
      </c>
      <c r="D26" s="13"/>
    </row>
    <row r="28" customFormat="false" ht="15" hidden="false" customHeight="false" outlineLevel="0" collapsed="false">
      <c r="A28" s="4" t="s">
        <v>526</v>
      </c>
      <c r="B28" s="4"/>
      <c r="C28" s="4" t="n">
        <v>3</v>
      </c>
      <c r="D28" s="4"/>
    </row>
    <row r="29" customFormat="false" ht="15" hidden="false" customHeight="false" outlineLevel="0" collapsed="false">
      <c r="A29" s="4" t="s">
        <v>527</v>
      </c>
      <c r="B29" s="4"/>
      <c r="C29" s="4" t="n">
        <v>2</v>
      </c>
      <c r="D29" s="4"/>
    </row>
    <row r="31" customFormat="false" ht="15" hidden="false" customHeight="false" outlineLevel="0" collapsed="false">
      <c r="A31" s="13" t="s">
        <v>528</v>
      </c>
      <c r="B31" s="13"/>
      <c r="C31" s="13" t="n">
        <f aca="false">C26+C28+C29</f>
        <v>111.4975</v>
      </c>
      <c r="D31" s="13"/>
    </row>
    <row r="33" customFormat="false" ht="15" hidden="false" customHeight="false" outlineLevel="0" collapsed="false">
      <c r="A33" s="4" t="s">
        <v>529</v>
      </c>
      <c r="B33" s="4"/>
      <c r="C33" s="4" t="n">
        <f aca="false">C31*0.3</f>
        <v>33.44925</v>
      </c>
      <c r="D33" s="4"/>
    </row>
    <row r="34" customFormat="false" ht="15" hidden="false" customHeight="false" outlineLevel="0" collapsed="false">
      <c r="A34" s="13" t="s">
        <v>530</v>
      </c>
      <c r="B34" s="13"/>
      <c r="C34" s="13" t="n">
        <f aca="false">C31+C33</f>
        <v>144.94675</v>
      </c>
      <c r="D34" s="1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3" style="0" width="24"/>
    <col collapsed="false" customWidth="true" hidden="false" outlineLevel="0" max="5" min="5" style="0" width="2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331</v>
      </c>
      <c r="B1" s="1" t="s">
        <v>531</v>
      </c>
      <c r="C1" s="1" t="s">
        <v>532</v>
      </c>
      <c r="D1" s="1" t="s">
        <v>533</v>
      </c>
      <c r="E1" s="1" t="s">
        <v>534</v>
      </c>
      <c r="F1" s="1" t="s">
        <v>535</v>
      </c>
    </row>
    <row r="2" customFormat="false" ht="15" hidden="false" customHeight="false" outlineLevel="0" collapsed="false">
      <c r="A2" s="14" t="s">
        <v>536</v>
      </c>
      <c r="B2" s="14" t="s">
        <v>537</v>
      </c>
      <c r="C2" s="14" t="s">
        <v>538</v>
      </c>
      <c r="D2" s="14" t="s">
        <v>341</v>
      </c>
      <c r="E2" s="14" t="s">
        <v>539</v>
      </c>
      <c r="F2" s="14" t="s">
        <v>540</v>
      </c>
    </row>
    <row r="3" customFormat="false" ht="15" hidden="false" customHeight="false" outlineLevel="0" collapsed="false">
      <c r="A3" s="14" t="s">
        <v>536</v>
      </c>
      <c r="B3" s="14" t="s">
        <v>541</v>
      </c>
      <c r="C3" s="14" t="s">
        <v>538</v>
      </c>
      <c r="D3" s="14" t="s">
        <v>355</v>
      </c>
      <c r="E3" s="14" t="s">
        <v>539</v>
      </c>
      <c r="F3" s="14" t="s">
        <v>542</v>
      </c>
    </row>
    <row r="4" customFormat="false" ht="15" hidden="false" customHeight="false" outlineLevel="0" collapsed="false">
      <c r="A4" s="15" t="s">
        <v>543</v>
      </c>
      <c r="B4" s="15" t="s">
        <v>544</v>
      </c>
      <c r="C4" s="15" t="s">
        <v>341</v>
      </c>
      <c r="D4" s="15" t="s">
        <v>545</v>
      </c>
      <c r="E4" s="15" t="s">
        <v>546</v>
      </c>
      <c r="F4" s="15" t="s">
        <v>547</v>
      </c>
    </row>
    <row r="5" customFormat="false" ht="15" hidden="false" customHeight="false" outlineLevel="0" collapsed="false">
      <c r="A5" s="15" t="s">
        <v>543</v>
      </c>
      <c r="B5" s="15" t="s">
        <v>548</v>
      </c>
      <c r="C5" s="15" t="s">
        <v>545</v>
      </c>
      <c r="D5" s="15" t="s">
        <v>549</v>
      </c>
      <c r="E5" s="15" t="s">
        <v>550</v>
      </c>
      <c r="F5" s="15" t="s">
        <v>551</v>
      </c>
    </row>
    <row r="6" customFormat="false" ht="15" hidden="false" customHeight="false" outlineLevel="0" collapsed="false">
      <c r="A6" s="16" t="s">
        <v>552</v>
      </c>
      <c r="B6" s="16" t="s">
        <v>553</v>
      </c>
      <c r="C6" s="16" t="s">
        <v>549</v>
      </c>
      <c r="D6" s="16" t="s">
        <v>554</v>
      </c>
      <c r="E6" s="16" t="s">
        <v>546</v>
      </c>
      <c r="F6" s="16" t="s">
        <v>547</v>
      </c>
    </row>
    <row r="7" customFormat="false" ht="15" hidden="false" customHeight="false" outlineLevel="0" collapsed="false">
      <c r="A7" s="16" t="s">
        <v>552</v>
      </c>
      <c r="B7" s="16" t="s">
        <v>390</v>
      </c>
      <c r="C7" s="16" t="s">
        <v>554</v>
      </c>
      <c r="D7" s="16" t="s">
        <v>555</v>
      </c>
      <c r="E7" s="16" t="s">
        <v>550</v>
      </c>
      <c r="F7" s="16" t="s">
        <v>556</v>
      </c>
    </row>
    <row r="8" customFormat="false" ht="15" hidden="false" customHeight="false" outlineLevel="0" collapsed="false">
      <c r="A8" s="17" t="s">
        <v>557</v>
      </c>
      <c r="B8" s="17" t="s">
        <v>558</v>
      </c>
      <c r="C8" s="17" t="s">
        <v>555</v>
      </c>
      <c r="D8" s="17" t="s">
        <v>559</v>
      </c>
      <c r="E8" s="17" t="s">
        <v>560</v>
      </c>
      <c r="F8" s="17" t="s">
        <v>561</v>
      </c>
    </row>
    <row r="9" customFormat="false" ht="15" hidden="false" customHeight="false" outlineLevel="0" collapsed="false">
      <c r="A9" s="17" t="s">
        <v>557</v>
      </c>
      <c r="B9" s="17" t="s">
        <v>413</v>
      </c>
      <c r="C9" s="17" t="s">
        <v>355</v>
      </c>
      <c r="D9" s="17" t="s">
        <v>559</v>
      </c>
      <c r="E9" s="17" t="s">
        <v>562</v>
      </c>
      <c r="F9" s="17" t="s">
        <v>561</v>
      </c>
    </row>
    <row r="10" customFormat="false" ht="15" hidden="false" customHeight="false" outlineLevel="0" collapsed="false">
      <c r="A10" s="17" t="s">
        <v>557</v>
      </c>
      <c r="B10" s="17" t="s">
        <v>563</v>
      </c>
      <c r="C10" s="17" t="s">
        <v>559</v>
      </c>
      <c r="D10" s="17" t="s">
        <v>564</v>
      </c>
      <c r="E10" s="17" t="s">
        <v>565</v>
      </c>
      <c r="F10" s="17" t="s">
        <v>566</v>
      </c>
    </row>
    <row r="11" customFormat="false" ht="15" hidden="false" customHeight="false" outlineLevel="0" collapsed="false">
      <c r="A11" s="17" t="s">
        <v>557</v>
      </c>
      <c r="B11" s="17" t="s">
        <v>567</v>
      </c>
      <c r="C11" s="17" t="s">
        <v>559</v>
      </c>
      <c r="D11" s="17" t="s">
        <v>452</v>
      </c>
      <c r="E11" s="17" t="s">
        <v>568</v>
      </c>
      <c r="F11" s="17" t="s">
        <v>569</v>
      </c>
    </row>
    <row r="12" customFormat="false" ht="15" hidden="false" customHeight="false" outlineLevel="0" collapsed="false">
      <c r="A12" s="18" t="s">
        <v>570</v>
      </c>
      <c r="B12" s="18" t="s">
        <v>571</v>
      </c>
      <c r="C12" s="18" t="s">
        <v>452</v>
      </c>
      <c r="D12" s="18" t="s">
        <v>538</v>
      </c>
      <c r="E12" s="18" t="s">
        <v>572</v>
      </c>
      <c r="F12" s="18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26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331</v>
      </c>
      <c r="B1" s="1" t="s">
        <v>534</v>
      </c>
      <c r="C1" s="1" t="s">
        <v>574</v>
      </c>
      <c r="D1" s="1" t="s">
        <v>575</v>
      </c>
      <c r="E1" s="1" t="s">
        <v>576</v>
      </c>
      <c r="F1" s="1" t="s">
        <v>577</v>
      </c>
    </row>
    <row r="2" customFormat="false" ht="15" hidden="false" customHeight="false" outlineLevel="0" collapsed="false">
      <c r="A2" s="14" t="s">
        <v>578</v>
      </c>
      <c r="B2" s="14" t="s">
        <v>579</v>
      </c>
      <c r="C2" s="14" t="s">
        <v>580</v>
      </c>
      <c r="D2" s="14" t="s">
        <v>581</v>
      </c>
      <c r="E2" s="14" t="s">
        <v>21</v>
      </c>
      <c r="F2" s="14" t="s">
        <v>582</v>
      </c>
    </row>
    <row r="3" customFormat="false" ht="15" hidden="false" customHeight="false" outlineLevel="0" collapsed="false">
      <c r="A3" s="14" t="s">
        <v>578</v>
      </c>
      <c r="B3" s="14" t="s">
        <v>583</v>
      </c>
      <c r="C3" s="14" t="s">
        <v>584</v>
      </c>
      <c r="D3" s="14" t="s">
        <v>585</v>
      </c>
      <c r="E3" s="14" t="s">
        <v>26</v>
      </c>
      <c r="F3" s="14" t="s">
        <v>586</v>
      </c>
    </row>
    <row r="4" customFormat="false" ht="15" hidden="false" customHeight="false" outlineLevel="0" collapsed="false">
      <c r="A4" s="14" t="s">
        <v>578</v>
      </c>
      <c r="B4" s="14" t="s">
        <v>587</v>
      </c>
      <c r="C4" s="14" t="s">
        <v>588</v>
      </c>
      <c r="D4" s="14" t="s">
        <v>589</v>
      </c>
      <c r="E4" s="14" t="s">
        <v>21</v>
      </c>
      <c r="F4" s="14" t="s">
        <v>590</v>
      </c>
    </row>
    <row r="5" customFormat="false" ht="15" hidden="false" customHeight="false" outlineLevel="0" collapsed="false">
      <c r="A5" s="14" t="s">
        <v>578</v>
      </c>
      <c r="B5" s="14" t="s">
        <v>591</v>
      </c>
      <c r="C5" s="14" t="s">
        <v>592</v>
      </c>
      <c r="D5" s="14" t="s">
        <v>593</v>
      </c>
      <c r="E5" s="14" t="s">
        <v>17</v>
      </c>
      <c r="F5" s="14" t="s">
        <v>594</v>
      </c>
    </row>
    <row r="6" customFormat="false" ht="15" hidden="false" customHeight="false" outlineLevel="0" collapsed="false">
      <c r="A6" s="15" t="s">
        <v>595</v>
      </c>
      <c r="B6" s="15" t="s">
        <v>546</v>
      </c>
      <c r="C6" s="15" t="s">
        <v>580</v>
      </c>
      <c r="D6" s="15" t="s">
        <v>589</v>
      </c>
      <c r="E6" s="15" t="s">
        <v>21</v>
      </c>
      <c r="F6" s="15" t="s">
        <v>596</v>
      </c>
    </row>
    <row r="7" customFormat="false" ht="15" hidden="false" customHeight="false" outlineLevel="0" collapsed="false">
      <c r="A7" s="15" t="s">
        <v>595</v>
      </c>
      <c r="B7" s="15" t="s">
        <v>597</v>
      </c>
      <c r="C7" s="15" t="s">
        <v>598</v>
      </c>
      <c r="D7" s="15" t="s">
        <v>580</v>
      </c>
      <c r="E7" s="15" t="s">
        <v>17</v>
      </c>
      <c r="F7" s="15" t="s">
        <v>599</v>
      </c>
    </row>
    <row r="8" customFormat="false" ht="15" hidden="false" customHeight="false" outlineLevel="0" collapsed="false">
      <c r="A8" s="15" t="s">
        <v>595</v>
      </c>
      <c r="B8" s="15" t="s">
        <v>600</v>
      </c>
      <c r="C8" s="15" t="s">
        <v>598</v>
      </c>
      <c r="D8" s="15" t="s">
        <v>580</v>
      </c>
      <c r="E8" s="15" t="s">
        <v>17</v>
      </c>
      <c r="F8" s="15" t="s">
        <v>601</v>
      </c>
    </row>
    <row r="9" customFormat="false" ht="15" hidden="false" customHeight="false" outlineLevel="0" collapsed="false">
      <c r="A9" s="15" t="s">
        <v>595</v>
      </c>
      <c r="B9" s="15" t="s">
        <v>602</v>
      </c>
      <c r="C9" s="15" t="s">
        <v>603</v>
      </c>
      <c r="D9" s="15" t="s">
        <v>593</v>
      </c>
      <c r="E9" s="15" t="s">
        <v>17</v>
      </c>
      <c r="F9" s="15" t="s">
        <v>604</v>
      </c>
    </row>
    <row r="10" customFormat="false" ht="15" hidden="false" customHeight="false" outlineLevel="0" collapsed="false">
      <c r="A10" s="16" t="s">
        <v>605</v>
      </c>
      <c r="B10" s="16" t="s">
        <v>546</v>
      </c>
      <c r="C10" s="16" t="s">
        <v>580</v>
      </c>
      <c r="D10" s="16" t="s">
        <v>589</v>
      </c>
      <c r="E10" s="16" t="s">
        <v>21</v>
      </c>
      <c r="F10" s="16" t="s">
        <v>606</v>
      </c>
    </row>
    <row r="11" customFormat="false" ht="15" hidden="false" customHeight="false" outlineLevel="0" collapsed="false">
      <c r="A11" s="16" t="s">
        <v>605</v>
      </c>
      <c r="B11" s="16" t="s">
        <v>607</v>
      </c>
      <c r="C11" s="16" t="s">
        <v>608</v>
      </c>
      <c r="D11" s="16" t="s">
        <v>580</v>
      </c>
      <c r="E11" s="16" t="s">
        <v>17</v>
      </c>
      <c r="F11" s="16" t="s">
        <v>609</v>
      </c>
    </row>
    <row r="12" customFormat="false" ht="15" hidden="false" customHeight="false" outlineLevel="0" collapsed="false">
      <c r="A12" s="16" t="s">
        <v>605</v>
      </c>
      <c r="B12" s="16" t="s">
        <v>610</v>
      </c>
      <c r="C12" s="16" t="s">
        <v>608</v>
      </c>
      <c r="D12" s="16" t="s">
        <v>611</v>
      </c>
      <c r="E12" s="16" t="s">
        <v>17</v>
      </c>
      <c r="F12" s="16" t="s">
        <v>612</v>
      </c>
    </row>
    <row r="13" customFormat="false" ht="15" hidden="false" customHeight="false" outlineLevel="0" collapsed="false">
      <c r="A13" s="16" t="s">
        <v>605</v>
      </c>
      <c r="B13" s="16" t="s">
        <v>613</v>
      </c>
      <c r="C13" s="16" t="s">
        <v>603</v>
      </c>
      <c r="D13" s="16" t="s">
        <v>593</v>
      </c>
      <c r="E13" s="16" t="s">
        <v>17</v>
      </c>
      <c r="F13" s="16" t="s">
        <v>614</v>
      </c>
    </row>
    <row r="14" customFormat="false" ht="15" hidden="false" customHeight="false" outlineLevel="0" collapsed="false">
      <c r="A14" s="17" t="s">
        <v>615</v>
      </c>
      <c r="B14" s="17" t="s">
        <v>616</v>
      </c>
      <c r="C14" s="17" t="s">
        <v>580</v>
      </c>
      <c r="D14" s="17" t="s">
        <v>617</v>
      </c>
      <c r="E14" s="17" t="s">
        <v>21</v>
      </c>
      <c r="F14" s="17" t="s">
        <v>618</v>
      </c>
    </row>
    <row r="15" customFormat="false" ht="15" hidden="false" customHeight="false" outlineLevel="0" collapsed="false">
      <c r="A15" s="17" t="s">
        <v>615</v>
      </c>
      <c r="B15" s="17" t="s">
        <v>619</v>
      </c>
      <c r="C15" s="17" t="s">
        <v>620</v>
      </c>
      <c r="D15" s="17" t="s">
        <v>589</v>
      </c>
      <c r="E15" s="17" t="s">
        <v>17</v>
      </c>
      <c r="F15" s="17" t="s">
        <v>621</v>
      </c>
    </row>
    <row r="16" customFormat="false" ht="15" hidden="false" customHeight="false" outlineLevel="0" collapsed="false">
      <c r="A16" s="17" t="s">
        <v>615</v>
      </c>
      <c r="B16" s="17" t="s">
        <v>622</v>
      </c>
      <c r="C16" s="17" t="s">
        <v>623</v>
      </c>
      <c r="D16" s="17" t="s">
        <v>580</v>
      </c>
      <c r="E16" s="17" t="s">
        <v>12</v>
      </c>
      <c r="F16" s="17" t="s">
        <v>624</v>
      </c>
    </row>
    <row r="17" customFormat="false" ht="15" hidden="false" customHeight="false" outlineLevel="0" collapsed="false">
      <c r="A17" s="17" t="s">
        <v>615</v>
      </c>
      <c r="B17" s="17" t="s">
        <v>565</v>
      </c>
      <c r="C17" s="17" t="s">
        <v>625</v>
      </c>
      <c r="D17" s="17" t="s">
        <v>626</v>
      </c>
      <c r="E17" s="17" t="s">
        <v>17</v>
      </c>
      <c r="F17" s="17" t="s">
        <v>627</v>
      </c>
    </row>
    <row r="18" customFormat="false" ht="15" hidden="false" customHeight="false" outlineLevel="0" collapsed="false">
      <c r="A18" s="17" t="s">
        <v>615</v>
      </c>
      <c r="B18" s="17" t="s">
        <v>435</v>
      </c>
      <c r="C18" s="17" t="s">
        <v>623</v>
      </c>
      <c r="D18" s="17" t="s">
        <v>628</v>
      </c>
      <c r="E18" s="17" t="s">
        <v>17</v>
      </c>
      <c r="F18" s="17" t="s">
        <v>629</v>
      </c>
    </row>
    <row r="19" customFormat="false" ht="15" hidden="false" customHeight="false" outlineLevel="0" collapsed="false">
      <c r="A19" s="18" t="s">
        <v>630</v>
      </c>
      <c r="B19" s="18" t="s">
        <v>631</v>
      </c>
      <c r="C19" s="18" t="s">
        <v>632</v>
      </c>
      <c r="D19" s="18" t="s">
        <v>633</v>
      </c>
      <c r="E19" s="18" t="s">
        <v>21</v>
      </c>
      <c r="F19" s="18" t="s">
        <v>634</v>
      </c>
    </row>
    <row r="20" customFormat="false" ht="15" hidden="false" customHeight="false" outlineLevel="0" collapsed="false">
      <c r="A20" s="18" t="s">
        <v>630</v>
      </c>
      <c r="B20" s="18" t="s">
        <v>635</v>
      </c>
      <c r="C20" s="18" t="s">
        <v>593</v>
      </c>
      <c r="D20" s="18" t="s">
        <v>585</v>
      </c>
      <c r="E20" s="18" t="s">
        <v>21</v>
      </c>
      <c r="F20" s="18" t="s">
        <v>636</v>
      </c>
    </row>
    <row r="21" customFormat="false" ht="15" hidden="false" customHeight="false" outlineLevel="0" collapsed="false">
      <c r="A21" s="18" t="s">
        <v>630</v>
      </c>
      <c r="B21" s="18" t="s">
        <v>637</v>
      </c>
      <c r="C21" s="18" t="s">
        <v>588</v>
      </c>
      <c r="D21" s="18" t="s">
        <v>638</v>
      </c>
      <c r="E21" s="18" t="s">
        <v>17</v>
      </c>
      <c r="F21" s="18" t="s">
        <v>639</v>
      </c>
    </row>
    <row r="22" customFormat="false" ht="15" hidden="false" customHeight="false" outlineLevel="0" collapsed="false">
      <c r="A22" s="18" t="s">
        <v>630</v>
      </c>
      <c r="B22" s="18" t="s">
        <v>640</v>
      </c>
      <c r="C22" s="18" t="s">
        <v>641</v>
      </c>
      <c r="D22" s="18" t="s">
        <v>638</v>
      </c>
      <c r="E22" s="18" t="s">
        <v>17</v>
      </c>
      <c r="F22" s="18" t="s">
        <v>642</v>
      </c>
    </row>
    <row r="23" customFormat="false" ht="15" hidden="false" customHeight="false" outlineLevel="0" collapsed="false">
      <c r="A23" s="18" t="s">
        <v>630</v>
      </c>
      <c r="B23" s="18" t="s">
        <v>643</v>
      </c>
      <c r="C23" s="18" t="s">
        <v>593</v>
      </c>
      <c r="D23" s="18" t="s">
        <v>644</v>
      </c>
      <c r="E23" s="18" t="s">
        <v>17</v>
      </c>
      <c r="F23" s="18" t="s">
        <v>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2026-03-27T20:27:35Z</dcterms:created>
  <dc:creator>openpyxl</dc:creator>
  <dc:description/>
  <dc:language>en-US</dc:language>
  <cp:lastModifiedBy/>
  <dcterms:modified xsi:type="dcterms:W3CDTF">2026-03-27T20:27:36Z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